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  <externalReference r:id="rId5"/>
    <externalReference r:id="rId6"/>
    <externalReference r:id="rId7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<sst xmlns="http://schemas.openxmlformats.org/spreadsheetml/2006/main" count="21" uniqueCount="16">
  <si>
    <t xml:space="preserve">Market</t>
  </si>
  <si>
    <t xml:space="preserve">LOW</t>
  </si>
  <si>
    <t xml:space="preserve">HIGH</t>
  </si>
  <si>
    <t xml:space="preserve">BOOK</t>
  </si>
  <si>
    <t xml:space="preserve">meeting</t>
  </si>
  <si>
    <t xml:space="preserve">ARI</t>
  </si>
  <si>
    <t xml:space="preserve">https://www.sec.gov/Archives/edgar/data/1467760/000119312526363807/d119099ddefm14a.htm</t>
  </si>
  <si>
    <t xml:space="preserve">AIV</t>
  </si>
  <si>
    <t xml:space="preserve">https://www.sec.gov/Archives/edgar/data/922864/000119312526001074/d46589ddefm14a.htm</t>
  </si>
  <si>
    <t xml:space="preserve">FREVS</t>
  </si>
  <si>
    <t xml:space="preserve">https://www.sec.gov/Archives/edgar/data/36840/000207709626000233/ea0299235-defm14a_firstreal.htm</t>
  </si>
  <si>
    <t xml:space="preserve">ELMES</t>
  </si>
  <si>
    <t xml:space="preserve">FREV: book is not realistic (zero for many properties, book is low end of management estimate)</t>
  </si>
  <si>
    <t xml:space="preserve">before div1</t>
  </si>
  <si>
    <t xml:space="preserve">after div1</t>
  </si>
  <si>
    <t xml:space="preserve">Managmeent low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</si>
</sst>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mm/dd/yy"/>
    <numFmt numFmtId="167" formatCode="\$#,##0.0000"/>
    <numFmt numFmtId="168" formatCode="0.0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Times New Roman"/>
      <family val="1"/>
      <charset val="1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color rgb="FF333333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B3CAC7"/>
        <bgColor rgb="FFCCCCFF"/>
      </patternFill>
    </fill>
    <fill>
      <patternFill patternType="solid">
        <fgColor rgb="FFDDE8C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externalLink" Target="externalLinks/externalLink4.xml"/><Relationship Id="rId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ARI/ari-investment-case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AIV/AIV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REVS/investment-case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ELME/investment-case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36">
          <cell r="B36">
            <v>4.13008169751975</v>
          </cell>
          <cell r="C36">
            <v>3.9183782055612</v>
          </cell>
          <cell r="D36">
            <v>4.55274284524525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1">
          <cell r="E21">
            <v>3.54032956137002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questions"/>
    </sheetNames>
    <sheetDataSet>
      <sheetData sheetId="0">
        <row r="63">
          <cell r="F63">
            <v>26.2250710238931</v>
          </cell>
          <cell r="G63">
            <v>29.4752287671436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Investment case"/>
    </sheetNames>
    <sheetDataSet>
      <sheetData sheetId="0"/>
      <sheetData sheetId="1">
        <row r="24">
          <cell r="B24">
            <v>0</v>
          </cell>
          <cell r="C24">
            <v>0.146788142364364</v>
          </cell>
          <cell r="D24">
            <v>0.2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1467760/000119312526363807/d119099ddefm14a.htm" TargetMode="External"/><Relationship Id="rId2" Type="http://schemas.openxmlformats.org/officeDocument/2006/relationships/hyperlink" Target="https://www.sec.gov/Archives/edgar/data/922864/000119312526001074/d46589ddefm14a.htm" TargetMode="External"/><Relationship Id="rId3" Type="http://schemas.openxmlformats.org/officeDocument/2006/relationships/hyperlink" Target="https://www.sec.gov/Archives/edgar/data/36840/000207709626000233/ea0299235-defm14a_firstreal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17"/>
    <col collapsed="false" customWidth="true" hidden="false" outlineLevel="0" max="2" min="2" style="1" width="8.21"/>
    <col collapsed="false" customWidth="true" hidden="false" outlineLevel="0" max="3" min="3" style="1" width="6.96"/>
    <col collapsed="false" customWidth="true" hidden="false" outlineLevel="0" max="4" min="4" style="1" width="5.42"/>
    <col collapsed="false" customWidth="true" hidden="false" outlineLevel="0" max="5" min="5" style="1" width="9.33"/>
    <col collapsed="false" customWidth="true" hidden="false" outlineLevel="0" max="6" min="6" style="1" width="9.18"/>
  </cols>
  <sheetData>
    <row r="5" customFormat="false" ht="12.8" hidden="false" customHeight="false" outlineLevel="0" collapsed="false">
      <c r="C5" s="1" t="s">
        <v>0</v>
      </c>
      <c r="E5" s="1" t="s">
        <v>1</v>
      </c>
      <c r="F5" s="1" t="s">
        <v>2</v>
      </c>
      <c r="G5" s="1" t="s">
        <v>3</v>
      </c>
      <c r="H5" s="1" t="s">
        <v>4</v>
      </c>
    </row>
    <row r="6" customFormat="false" ht="12.8" hidden="false" customHeight="false" outlineLevel="0" collapsed="false">
      <c r="B6" s="1" t="s">
        <v>5</v>
      </c>
      <c r="C6" s="2" t="n">
        <f aca="false">6.625-4.1</f>
        <v>2.525</v>
      </c>
      <c r="E6" s="3" t="n">
        <f aca="false">[1]Sheet1!C36</f>
        <v>3.9183782055612</v>
      </c>
      <c r="F6" s="3" t="n">
        <f aca="false">[1]Sheet1!D36</f>
        <v>4.55274284524525</v>
      </c>
      <c r="G6" s="3" t="n">
        <f aca="false">[1]Sheet1!B36</f>
        <v>4.13008169751975</v>
      </c>
      <c r="H6" s="4" t="n">
        <v>46294</v>
      </c>
      <c r="I6" s="5" t="s">
        <v>6</v>
      </c>
    </row>
    <row r="7" customFormat="false" ht="12.8" hidden="false" customHeight="false" outlineLevel="0" collapsed="false">
      <c r="B7" s="1" t="s">
        <v>7</v>
      </c>
      <c r="C7" s="2" t="n">
        <v>1.65</v>
      </c>
      <c r="G7" s="3" t="n">
        <f aca="false">[2]Sheet1!E21</f>
        <v>3.54032956137002</v>
      </c>
      <c r="H7" s="4" t="n">
        <v>46059</v>
      </c>
      <c r="I7" s="6" t="s">
        <v>8</v>
      </c>
    </row>
    <row r="8" customFormat="false" ht="12.8" hidden="false" customHeight="false" outlineLevel="0" collapsed="false">
      <c r="B8" s="1" t="s">
        <v>9</v>
      </c>
      <c r="C8" s="2" t="n">
        <v>18.65</v>
      </c>
      <c r="E8" s="3" t="n">
        <f aca="false">[3]Sheet1!F63</f>
        <v>26.2250710238931</v>
      </c>
      <c r="F8" s="3" t="n">
        <f aca="false">[3]Sheet1!G63</f>
        <v>29.4752287671436</v>
      </c>
      <c r="G8" s="7" t="n">
        <v>21.24</v>
      </c>
      <c r="H8" s="4" t="n">
        <v>46294</v>
      </c>
      <c r="I8" s="6" t="s">
        <v>10</v>
      </c>
    </row>
    <row r="9" customFormat="false" ht="12.8" hidden="false" customHeight="false" outlineLevel="0" collapsed="false">
      <c r="B9" s="1" t="s">
        <v>11</v>
      </c>
      <c r="C9" s="2" t="n">
        <v>0.0431</v>
      </c>
      <c r="E9" s="8" t="n">
        <f aca="false">'[4]Investment case'!B24</f>
        <v>0</v>
      </c>
      <c r="F9" s="8" t="n">
        <f aca="false">'[4]Investment case'!D24</f>
        <v>0.2</v>
      </c>
      <c r="G9" s="8" t="n">
        <f aca="false">'[4]Investment case'!C24</f>
        <v>0.146788142364364</v>
      </c>
      <c r="H9" s="1" t="n">
        <v>2025</v>
      </c>
    </row>
    <row r="13" customFormat="false" ht="12.8" hidden="false" customHeight="false" outlineLevel="0" collapsed="false">
      <c r="B13" s="1" t="s">
        <v>5</v>
      </c>
      <c r="E13" s="9" t="n">
        <f aca="false">E6/$C6-1</f>
        <v>0.551832952697505</v>
      </c>
      <c r="F13" s="9" t="n">
        <f aca="false">F6/$C6-1</f>
        <v>0.803066473364455</v>
      </c>
      <c r="G13" s="10" t="n">
        <f aca="false">G6/$C6-1</f>
        <v>0.635675919809802</v>
      </c>
    </row>
    <row r="14" customFormat="false" ht="12.8" hidden="false" customHeight="false" outlineLevel="0" collapsed="false">
      <c r="B14" s="1" t="s">
        <v>7</v>
      </c>
      <c r="E14" s="11" t="n">
        <f aca="false">E7/$C7-1</f>
        <v>-1</v>
      </c>
      <c r="F14" s="11" t="n">
        <f aca="false">F7/$C7-1</f>
        <v>-1</v>
      </c>
      <c r="G14" s="10" t="n">
        <f aca="false">G7/$C7-1</f>
        <v>1.14565427961819</v>
      </c>
    </row>
    <row r="15" customFormat="false" ht="12.8" hidden="false" customHeight="false" outlineLevel="0" collapsed="false">
      <c r="B15" s="1" t="s">
        <v>9</v>
      </c>
      <c r="E15" s="9" t="n">
        <f aca="false">E8/$C8-1</f>
        <v>0.406170028090783</v>
      </c>
      <c r="F15" s="9" t="n">
        <f aca="false">F8/$C8-1</f>
        <v>0.58044122075837</v>
      </c>
      <c r="G15" s="10" t="n">
        <f aca="false">G8/$C8-1</f>
        <v>0.13887399463807</v>
      </c>
      <c r="I15" s="12" t="s">
        <v>12</v>
      </c>
    </row>
    <row r="16" customFormat="false" ht="12.8" hidden="false" customHeight="false" outlineLevel="0" collapsed="false">
      <c r="B16" s="1" t="s">
        <v>11</v>
      </c>
      <c r="E16" s="11" t="n">
        <f aca="false">E9/$C9-1</f>
        <v>-1</v>
      </c>
      <c r="F16" s="9" t="n">
        <f aca="false">F9/$C9-1</f>
        <v>3.64037122969838</v>
      </c>
      <c r="G16" s="9" t="n">
        <f aca="false">G9/$C9-1</f>
        <v>2.40575736344232</v>
      </c>
    </row>
    <row r="21" customFormat="false" ht="12.8" hidden="false" customHeight="false" outlineLevel="0" collapsed="false">
      <c r="F21" s="1" t="s">
        <v>13</v>
      </c>
      <c r="G21" s="0" t="s">
        <v>14</v>
      </c>
    </row>
    <row r="22" customFormat="false" ht="12.8" hidden="false" customHeight="false" outlineLevel="0" collapsed="false">
      <c r="B22" s="1" t="s">
        <v>9</v>
      </c>
      <c r="C22" s="1" t="s">
        <v>15</v>
      </c>
      <c r="F22" s="1" t="n">
        <v>24.44</v>
      </c>
      <c r="G22" s="13" t="n">
        <f aca="false">F22-3.2</f>
        <v>21.24</v>
      </c>
    </row>
    <row r="23" customFormat="false" ht="12.8" hidden="false" customHeight="false" outlineLevel="0" collapsed="false">
      <c r="C23" s="14"/>
      <c r="F23" s="1" t="n">
        <v>30.03</v>
      </c>
      <c r="G23" s="13" t="n">
        <f aca="false">F23-3.2</f>
        <v>26.83</v>
      </c>
    </row>
  </sheetData>
  <hyperlinks>
    <hyperlink ref="I6" r:id="rId1" display="https://www.sec.gov/Archives/edgar/data/1467760/000119312526363807/d119099ddefm14a.htm"/>
    <hyperlink ref="I7" r:id="rId2" display="https://www.sec.gov/Archives/edgar/data/922864/000119312526001074/d46589ddefm14a.htm"/>
    <hyperlink ref="I8" r:id="rId3" display="https://www.sec.gov/Archives/edgar/data/36840/000207709626000233/ea0299235-defm14a_firstreal.ht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2026-10-26T14:39:49Z</dcterms:created>
  <dc:creator/>
  <dc:description/>
  <dc:language>en-US</dc:language>
  <cp:lastModifiedBy/>
  <dcterms:modified xsi:type="dcterms:W3CDTF">2026-10-26T16:31:21Z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