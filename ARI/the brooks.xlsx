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<sst xmlns="http://schemas.openxmlformats.org/spreadsheetml/2006/main" count="76" uniqueCount="76">
  <si>
    <t xml:space="preserve">The Brook</t>
  </si>
  <si>
    <t xml:space="preserve">589 Fulton Street, Brooklyn, NY 11201</t>
  </si>
  <si>
    <t xml:space="preserve"># units</t>
  </si>
  <si>
    <t xml:space="preserve">category</t>
  </si>
  <si>
    <t xml:space="preserve">sqf/unit</t>
  </si>
  <si>
    <t xml:space="preserve">sqf</t>
  </si>
  <si>
    <t xml:space="preserve">rent/month/unit</t>
  </si>
  <si>
    <t xml:space="preserve">rent/month</t>
  </si>
  <si>
    <t xml:space="preserve">per year</t>
  </si>
  <si>
    <t xml:space="preserve">retail</t>
  </si>
  <si>
    <t xml:space="preserve"> retail in cellar</t>
  </si>
  <si>
    <t xml:space="preserve">Studio, 80% AMI</t>
  </si>
  <si>
    <t xml:space="preserve">One-bedroom, 80% AMI</t>
  </si>
  <si>
    <t xml:space="preserve">Two-bedroom, 80% AMI</t>
  </si>
  <si>
    <t xml:space="preserve">Studio, 130% AMI</t>
  </si>
  <si>
    <t xml:space="preserve">One-bedroom, 130% AMI</t>
  </si>
  <si>
    <t xml:space="preserve">One-bedroom, 130% AMI, higher</t>
  </si>
  <si>
    <t xml:space="preserve">Two-bedroom, 130% AMI</t>
  </si>
  <si>
    <t xml:space="preserve">Two-bedroom, 130% AMI, higher</t>
  </si>
  <si>
    <t xml:space="preserve">Studio, market</t>
  </si>
  <si>
    <t xml:space="preserve">One-bedroom, market</t>
  </si>
  <si>
    <t xml:space="preserve">Two-bedroom, market</t>
  </si>
  <si>
    <t xml:space="preserve">all residential</t>
  </si>
  <si>
    <t xml:space="preserve">total</t>
  </si>
  <si>
    <t xml:space="preserve">vacancy</t>
  </si>
  <si>
    <t xml:space="preserve">operating expense</t>
  </si>
  <si>
    <t xml:space="preserve">NOI</t>
  </si>
  <si>
    <t xml:space="preserve">depreciation</t>
  </si>
  <si>
    <t xml:space="preserve">earnings after depreciation</t>
  </si>
  <si>
    <t xml:space="preserve">The lot itself</t>
  </si>
  <si>
    <t xml:space="preserve">residential amenities</t>
  </si>
  <si>
    <t xml:space="preserve">sqf for 51 floors</t>
  </si>
  <si>
    <t xml:space="preserve">NYC Department of Finance as 527,969 square feet residential and 37,357 square feet retail.</t>
  </si>
  <si>
    <t xml:space="preserve">new-building permit (DOB job B00571785) uses 489,280 square feet residential and 68,693 square feet retail</t>
  </si>
  <si>
    <t xml:space="preserve">Second Parcel: 547–557 Fulton (also called 555 Fulton) is a separate low-rise retail building: nearly 14,000 square feet in the loan announcement, </t>
  </si>
  <si>
    <t xml:space="preserve">and 14,361 square feet in later reporting (7,902 on the ground floor and 6,459 in the cellar). It is still unbuilt.</t>
  </si>
  <si>
    <t xml:space="preserve">assumptions</t>
  </si>
  <si>
    <t xml:space="preserve">retail rent $/sf/year</t>
  </si>
  <si>
    <t xml:space="preserve">vacancy, market and retail</t>
  </si>
  <si>
    <t xml:space="preserve">vacancy, affordable</t>
  </si>
  <si>
    <t xml:space="preserve">Q2 2026 operating expense</t>
  </si>
  <si>
    <t xml:space="preserve">Q2 2026 residential rent</t>
  </si>
  <si>
    <t xml:space="preserve">fixed share of expense</t>
  </si>
  <si>
    <t xml:space="preserve">building cost 31 Dec 2025</t>
  </si>
  <si>
    <t xml:space="preserve">depreciable life, years</t>
  </si>
  <si>
    <t xml:space="preserve">Retail is the 20,000 sq ft Din Tai Fung lease. The lease rent was not disclosed. $85/sf sits between Fulton Street comps: 530 Fulton asks $62/sf on up to 12,187 sq ft, 425 Fulton asks $95–$120/sf on 2,650 sq ft,</t>
  </si>
  <si>
    <t xml:space="preserve"> and 372 Fulton asks $124/sf on 3,200 sq ft. The REBNY Fulton average of $190/sf is small-shop asking rent.</t>
  </si>
  <si>
    <t xml:space="preserve">Market bedroom counts are not published. They follow the lottery mix. Square feet per apartment are the lottery averages: studio 437.5, one-bedroom 625, two-bedroom 915.</t>
  </si>
  <si>
    <t xml:space="preserve">Operating expense starts from the second-quarter 2026 cost and scales only the residential rent. Value is NOI divided by the cap rate, before depreciation and before the loan. Cap rates are 5.25%, 5.5%, 6.0%, and 6.5%. AIV uses 5.6% for multifamily.</t>
  </si>
  <si>
    <t xml:space="preserve">valuation</t>
  </si>
  <si>
    <t xml:space="preserve">value in million</t>
  </si>
  <si>
    <t xml:space="preserve">book value 31 Dec 2025</t>
  </si>
  <si>
    <t xml:space="preserve">BOOK</t>
  </si>
  <si>
    <t xml:space="preserve">HIGH</t>
  </si>
  <si>
    <t xml:space="preserve">LOW</t>
  </si>
  <si>
    <t xml:space="preserve">market value of the land (purchase 2022)</t>
  </si>
  <si>
    <t xml:space="preserve">construction cost (2023-2026)</t>
  </si>
  <si>
    <t xml:space="preserve">square foot valuation</t>
  </si>
  <si>
    <t xml:space="preserve">sqf res</t>
  </si>
  <si>
    <t xml:space="preserve">estimated annual operating budget for 2027</t>
  </si>
  <si>
    <t xml:space="preserve">low</t>
  </si>
  <si>
    <t xml:space="preserve">high</t>
  </si>
  <si>
    <t xml:space="preserve">Building staff, doormen, security and maintenance payroll</t>
  </si>
  <si>
    <t xml:space="preserve">Electricity, heating, cooling and common-area utilities</t>
  </si>
  <si>
    <t xml:space="preserve">Water and sewer</t>
  </si>
  <si>
    <t xml:space="preserve">Repairs, maintenance and service contracts</t>
  </si>
  <si>
    <t xml:space="preserve">Insurance</t>
  </si>
  <si>
    <t xml:space="preserve">Property management and administration</t>
  </si>
  <si>
    <t xml:space="preserve">Cleaning, waste removal and pest control</t>
  </si>
  <si>
    <t xml:space="preserve">Amenities, pool, fitness facilities and landscaping</t>
  </si>
  <si>
    <t xml:space="preserve">Elevator, fire safety and building systems contracts</t>
  </si>
  <si>
    <t xml:space="preserve">Property taxes, assuming substantial abatement</t>
  </si>
  <si>
    <t xml:space="preserve">Total estimated operating costs</t>
  </si>
  <si>
    <t xml:space="preserve">Apollo Commercial Real Estate Finance took it by deed-in-lieu on August 3, 2022, and booked it once at fair value under ASC 805: $270.1 million, described as the market value of the land at that date (Level III, comparable sales)</t>
  </si>
  <si>
    <t xml:space="preserve">The book value is initial market value plus capitalized costs, minus depreciation on the finished portion.</t>
  </si>
  <si>
    <t xml:space="preserve">ARI carries The Brook at cost. It is not marked to market each quarter.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</si>
</sst>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"/>
    <numFmt numFmtId="167" formatCode="\$#,##0.00"/>
    <numFmt numFmtId="168" formatCode="\$#,##0"/>
    <numFmt numFmtId="169" formatCode="\$#,##0;&quot;($&quot;#,##0\)"/>
    <numFmt numFmtId="170" formatCode="0.00%"/>
    <numFmt numFmtId="171" formatCode="0.0%"/>
    <numFmt numFmtId="172" formatCode="0%"/>
    <numFmt numFmtId="173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E6F2"/>
        <bgColor rgb="FFE5F4EA"/>
      </patternFill>
    </fill>
    <fill>
      <patternFill patternType="solid">
        <fgColor rgb="FFEAF3FB"/>
        <bgColor rgb="FFE5F4EA"/>
      </patternFill>
    </fill>
    <fill>
      <patternFill patternType="solid">
        <fgColor rgb="FFB4C7DC"/>
        <bgColor rgb="FF99CCFF"/>
      </patternFill>
    </fill>
    <fill>
      <patternFill patternType="solid">
        <fgColor rgb="FF729FCF"/>
        <bgColor rgb="FF969696"/>
      </patternFill>
    </fill>
    <fill>
      <patternFill patternType="solid">
        <fgColor rgb="FFE5F4EA"/>
        <bgColor rgb="FFEAF3FB"/>
      </patternFill>
    </fill>
    <fill>
      <patternFill patternType="solid">
        <fgColor rgb="FFE0C2CD"/>
        <bgColor rgb="FFB4C7DC"/>
      </patternFill>
    </fill>
    <fill>
      <patternFill patternType="solid">
        <fgColor rgb="FFF8E8C8"/>
        <bgColor rgb="FFE5F4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3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8E8C8"/>
      <rgbColor rgb="FFE5F4EA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F70" activeCellId="0" sqref="F7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93"/>
    <col collapsed="false" customWidth="true" hidden="false" outlineLevel="0" max="2" min="2" style="1" width="39.78"/>
    <col collapsed="false" customWidth="true" hidden="false" outlineLevel="0" max="3" min="3" style="1" width="12.1"/>
    <col collapsed="false" customWidth="true" hidden="false" outlineLevel="0" max="4" min="4" style="1" width="10.57"/>
    <col collapsed="false" customWidth="true" hidden="false" outlineLevel="0" max="5" min="5" style="1" width="18.79"/>
    <col collapsed="false" customWidth="true" hidden="false" outlineLevel="0" max="7" min="6" style="1" width="16"/>
    <col collapsed="false" customWidth="true" hidden="false" outlineLevel="0" max="8" min="8" style="1" width="12"/>
    <col collapsed="false" customWidth="true" hidden="false" outlineLevel="0" max="9" min="9" style="1" width="3"/>
    <col collapsed="false" customWidth="true" hidden="false" outlineLevel="0" max="10" min="10" style="1" width="32"/>
    <col collapsed="false" customWidth="true" hidden="false" outlineLevel="0" max="11" min="11" style="1" width="18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2.8" hidden="false" customHeight="false" outlineLevel="0" collapsed="false">
      <c r="A5" s="4" t="n">
        <v>1</v>
      </c>
      <c r="B5" s="2" t="s">
        <v>9</v>
      </c>
      <c r="C5" s="5" t="n">
        <v>20000</v>
      </c>
      <c r="D5" s="4" t="n">
        <f aca="false">C5*A5</f>
        <v>20000</v>
      </c>
      <c r="E5" s="6" t="n">
        <f aca="false">C5*$C$39/12</f>
        <v>141666.666666667</v>
      </c>
      <c r="F5" s="7" t="n">
        <f aca="false">E5*A5</f>
        <v>141666.666666667</v>
      </c>
      <c r="G5" s="7" t="n">
        <f aca="false">F5*12</f>
        <v>1700000</v>
      </c>
    </row>
    <row r="6" customFormat="false" ht="12.8" hidden="false" customHeight="false" outlineLevel="0" collapsed="false">
      <c r="A6" s="4" t="n">
        <v>1</v>
      </c>
      <c r="B6" s="2" t="s">
        <v>10</v>
      </c>
      <c r="C6" s="8" t="n">
        <v>12000</v>
      </c>
      <c r="D6" s="4" t="n">
        <f aca="false">C6*A6</f>
        <v>12000</v>
      </c>
      <c r="E6" s="6" t="n">
        <f aca="false">C6*$C$39/12</f>
        <v>85000</v>
      </c>
      <c r="F6" s="7" t="n">
        <f aca="false">E6*A6</f>
        <v>85000</v>
      </c>
      <c r="G6" s="7" t="n">
        <f aca="false">F6*12</f>
        <v>1020000</v>
      </c>
    </row>
    <row r="7" customFormat="false" ht="12.8" hidden="false" customHeight="false" outlineLevel="0" collapsed="false">
      <c r="A7" s="4" t="n">
        <v>2</v>
      </c>
      <c r="B7" s="2" t="s">
        <v>11</v>
      </c>
      <c r="C7" s="5" t="n">
        <v>437.5</v>
      </c>
      <c r="D7" s="4" t="n">
        <f aca="false">C7*A7</f>
        <v>875</v>
      </c>
      <c r="E7" s="6" t="n">
        <v>1793</v>
      </c>
      <c r="F7" s="7" t="n">
        <f aca="false">E7*A7</f>
        <v>3586</v>
      </c>
      <c r="G7" s="7" t="n">
        <f aca="false">F7*12</f>
        <v>43032</v>
      </c>
    </row>
    <row r="8" customFormat="false" ht="12.8" hidden="false" customHeight="false" outlineLevel="0" collapsed="false">
      <c r="A8" s="4" t="n">
        <v>2</v>
      </c>
      <c r="B8" s="2" t="s">
        <v>12</v>
      </c>
      <c r="C8" s="5" t="n">
        <v>625</v>
      </c>
      <c r="D8" s="4" t="n">
        <f aca="false">C8*A8</f>
        <v>1250</v>
      </c>
      <c r="E8" s="6" t="n">
        <v>1918</v>
      </c>
      <c r="F8" s="7" t="n">
        <f aca="false">E8*A8</f>
        <v>3836</v>
      </c>
      <c r="G8" s="7" t="n">
        <f aca="false">F8*12</f>
        <v>46032</v>
      </c>
    </row>
    <row r="9" customFormat="false" ht="12.8" hidden="false" customHeight="false" outlineLevel="0" collapsed="false">
      <c r="A9" s="4" t="n">
        <v>4</v>
      </c>
      <c r="B9" s="2" t="s">
        <v>13</v>
      </c>
      <c r="C9" s="5" t="n">
        <v>915</v>
      </c>
      <c r="D9" s="4" t="n">
        <f aca="false">C9*A9</f>
        <v>3660</v>
      </c>
      <c r="E9" s="6" t="n">
        <v>2292</v>
      </c>
      <c r="F9" s="7" t="n">
        <f aca="false">E9*A9</f>
        <v>9168</v>
      </c>
      <c r="G9" s="7" t="n">
        <f aca="false">F9*12</f>
        <v>110016</v>
      </c>
    </row>
    <row r="10" customFormat="false" ht="12.8" hidden="false" customHeight="false" outlineLevel="0" collapsed="false">
      <c r="A10" s="4" t="n">
        <v>21</v>
      </c>
      <c r="B10" s="2" t="s">
        <v>14</v>
      </c>
      <c r="C10" s="5" t="n">
        <v>437.5</v>
      </c>
      <c r="D10" s="4" t="n">
        <f aca="false">C10*A10</f>
        <v>9187.5</v>
      </c>
      <c r="E10" s="6" t="n">
        <v>2950</v>
      </c>
      <c r="F10" s="7" t="n">
        <f aca="false">E10*A10</f>
        <v>61950</v>
      </c>
      <c r="G10" s="7" t="n">
        <f aca="false">F10*12</f>
        <v>743400</v>
      </c>
    </row>
    <row r="11" customFormat="false" ht="12.8" hidden="false" customHeight="false" outlineLevel="0" collapsed="false">
      <c r="A11" s="4" t="n">
        <v>45</v>
      </c>
      <c r="B11" s="2" t="s">
        <v>15</v>
      </c>
      <c r="C11" s="5" t="n">
        <v>625</v>
      </c>
      <c r="D11" s="4" t="n">
        <f aca="false">C11*A11</f>
        <v>28125</v>
      </c>
      <c r="E11" s="6" t="n">
        <v>3425</v>
      </c>
      <c r="F11" s="7" t="n">
        <f aca="false">E11*A11</f>
        <v>154125</v>
      </c>
      <c r="G11" s="7" t="n">
        <f aca="false">F11*12</f>
        <v>1849500</v>
      </c>
    </row>
    <row r="12" customFormat="false" ht="12.8" hidden="false" customHeight="false" outlineLevel="0" collapsed="false">
      <c r="A12" s="4" t="n">
        <v>80</v>
      </c>
      <c r="B12" s="2" t="s">
        <v>16</v>
      </c>
      <c r="C12" s="5" t="n">
        <v>625</v>
      </c>
      <c r="D12" s="4" t="n">
        <f aca="false">C12*A12</f>
        <v>50000</v>
      </c>
      <c r="E12" s="6" t="n">
        <v>3575</v>
      </c>
      <c r="F12" s="7" t="n">
        <f aca="false">E12*A12</f>
        <v>286000</v>
      </c>
      <c r="G12" s="7" t="n">
        <f aca="false">F12*12</f>
        <v>3432000</v>
      </c>
    </row>
    <row r="13" customFormat="false" ht="12.8" hidden="false" customHeight="false" outlineLevel="0" collapsed="false">
      <c r="A13" s="4" t="n">
        <v>9</v>
      </c>
      <c r="B13" s="2" t="s">
        <v>17</v>
      </c>
      <c r="C13" s="5" t="n">
        <v>915</v>
      </c>
      <c r="D13" s="4" t="n">
        <f aca="false">C13*A13</f>
        <v>8235</v>
      </c>
      <c r="E13" s="6" t="n">
        <v>4125</v>
      </c>
      <c r="F13" s="7" t="n">
        <f aca="false">E13*A13</f>
        <v>37125</v>
      </c>
      <c r="G13" s="7" t="n">
        <f aca="false">F13*12</f>
        <v>445500</v>
      </c>
    </row>
    <row r="14" customFormat="false" ht="12.8" hidden="false" customHeight="false" outlineLevel="0" collapsed="false">
      <c r="A14" s="4" t="n">
        <v>15</v>
      </c>
      <c r="B14" s="2" t="s">
        <v>18</v>
      </c>
      <c r="C14" s="5" t="n">
        <v>915</v>
      </c>
      <c r="D14" s="4" t="n">
        <f aca="false">C14*A14</f>
        <v>13725</v>
      </c>
      <c r="E14" s="6" t="n">
        <v>4250</v>
      </c>
      <c r="F14" s="7" t="n">
        <f aca="false">E14*A14</f>
        <v>63750</v>
      </c>
      <c r="G14" s="7" t="n">
        <f aca="false">F14*12</f>
        <v>765000</v>
      </c>
    </row>
    <row r="15" customFormat="false" ht="12.8" hidden="false" customHeight="false" outlineLevel="0" collapsed="false">
      <c r="A15" s="4" t="n">
        <v>53</v>
      </c>
      <c r="B15" s="2" t="s">
        <v>19</v>
      </c>
      <c r="C15" s="5" t="n">
        <v>437.5</v>
      </c>
      <c r="D15" s="4" t="n">
        <f aca="false">C15*A15</f>
        <v>23187.5</v>
      </c>
      <c r="E15" s="6" t="n">
        <v>4188</v>
      </c>
      <c r="F15" s="7" t="n">
        <f aca="false">E15*A15</f>
        <v>221964</v>
      </c>
      <c r="G15" s="7" t="n">
        <f aca="false">F15*12</f>
        <v>2663568</v>
      </c>
    </row>
    <row r="16" customFormat="false" ht="12.8" hidden="false" customHeight="false" outlineLevel="0" collapsed="false">
      <c r="A16" s="4" t="n">
        <v>295</v>
      </c>
      <c r="B16" s="2" t="s">
        <v>20</v>
      </c>
      <c r="C16" s="5" t="n">
        <v>625</v>
      </c>
      <c r="D16" s="4" t="n">
        <f aca="false">C16*A16</f>
        <v>184375</v>
      </c>
      <c r="E16" s="6" t="n">
        <v>5903</v>
      </c>
      <c r="F16" s="7" t="n">
        <f aca="false">E16*A16</f>
        <v>1741385</v>
      </c>
      <c r="G16" s="7" t="n">
        <f aca="false">F16*12</f>
        <v>20896620</v>
      </c>
    </row>
    <row r="17" customFormat="false" ht="12.8" hidden="false" customHeight="false" outlineLevel="0" collapsed="false">
      <c r="A17" s="4" t="n">
        <v>65</v>
      </c>
      <c r="B17" s="2" t="s">
        <v>21</v>
      </c>
      <c r="C17" s="5" t="n">
        <v>915</v>
      </c>
      <c r="D17" s="4" t="n">
        <f aca="false">C17*A17</f>
        <v>59475</v>
      </c>
      <c r="E17" s="6" t="n">
        <v>9748</v>
      </c>
      <c r="F17" s="7" t="n">
        <f aca="false">E17*A17</f>
        <v>633620</v>
      </c>
      <c r="G17" s="7" t="n">
        <f aca="false">F17*12</f>
        <v>7603440</v>
      </c>
    </row>
    <row r="18" customFormat="false" ht="12.8" hidden="false" customHeight="false" outlineLevel="0" collapsed="false">
      <c r="A18" s="9" t="n">
        <f aca="false">SUM(A7:A17)</f>
        <v>591</v>
      </c>
      <c r="B18" s="10" t="s">
        <v>22</v>
      </c>
      <c r="C18" s="11" t="n">
        <f aca="false">D18/A18</f>
        <v>646.522842639594</v>
      </c>
      <c r="D18" s="9" t="n">
        <f aca="false">SUM(D7:D17)</f>
        <v>382095</v>
      </c>
      <c r="E18" s="12" t="n">
        <f aca="false">F18/A18</f>
        <v>5442.48561759729</v>
      </c>
      <c r="F18" s="13" t="n">
        <f aca="false">G18/12</f>
        <v>3216509</v>
      </c>
      <c r="G18" s="13" t="n">
        <f aca="false">SUM(G7:G17)</f>
        <v>38598108</v>
      </c>
    </row>
    <row r="19" customFormat="false" ht="12.8" hidden="false" customHeight="false" outlineLevel="0" collapsed="false">
      <c r="B19" s="14" t="s">
        <v>23</v>
      </c>
      <c r="C19" s="15"/>
      <c r="D19" s="16" t="n">
        <f aca="false">D5+D18+D6</f>
        <v>414095</v>
      </c>
      <c r="E19" s="15"/>
      <c r="F19" s="17" t="n">
        <f aca="false">G19/12</f>
        <v>3443175.66666667</v>
      </c>
      <c r="G19" s="17" t="n">
        <f aca="false">G5+G18+G6</f>
        <v>41318108</v>
      </c>
    </row>
    <row r="20" customFormat="false" ht="12.8" hidden="false" customHeight="false" outlineLevel="0" collapsed="false">
      <c r="E20" s="2" t="s">
        <v>24</v>
      </c>
      <c r="G20" s="18" t="n">
        <f aca="false">-(G5*$C$40+SUM(G7:G14)*$C$41+SUM(G15:G17)*$C$40)</f>
        <v>-1791871</v>
      </c>
    </row>
    <row r="21" customFormat="false" ht="12.8" hidden="false" customHeight="false" outlineLevel="0" collapsed="false">
      <c r="E21" s="2" t="s">
        <v>25</v>
      </c>
      <c r="G21" s="18" t="n">
        <f aca="false">-(($C$44*$C$42+(1-$C$44)*$C$42/($C$43/(G18/4)))*4)</f>
        <v>-9073009.55076923</v>
      </c>
      <c r="H21" s="19" t="n">
        <f aca="false">G21/(G19+G20)</f>
        <v>-0.22954397482283</v>
      </c>
    </row>
    <row r="22" customFormat="false" ht="12.8" hidden="false" customHeight="false" outlineLevel="0" collapsed="false">
      <c r="E22" s="20" t="s">
        <v>26</v>
      </c>
      <c r="G22" s="21" t="n">
        <f aca="false">G19+G20+G21</f>
        <v>30453227.4492308</v>
      </c>
    </row>
    <row r="23" customFormat="false" ht="12.8" hidden="false" customHeight="false" outlineLevel="0" collapsed="false">
      <c r="E23" s="2" t="s">
        <v>27</v>
      </c>
      <c r="G23" s="18" t="n">
        <f aca="false">-$C$45/$C$46</f>
        <v>-10262875</v>
      </c>
    </row>
    <row r="24" customFormat="false" ht="12.8" hidden="false" customHeight="false" outlineLevel="0" collapsed="false">
      <c r="E24" s="2" t="s">
        <v>28</v>
      </c>
      <c r="G24" s="18" t="n">
        <f aca="false">G22+G23</f>
        <v>20190352.4492308</v>
      </c>
    </row>
    <row r="26" customFormat="false" ht="12.8" hidden="false" customHeight="false" outlineLevel="0" collapsed="false">
      <c r="B26" s="1" t="s">
        <v>29</v>
      </c>
      <c r="D26" s="4" t="n">
        <v>27530</v>
      </c>
    </row>
    <row r="27" customFormat="false" ht="12.8" hidden="false" customHeight="false" outlineLevel="0" collapsed="false">
      <c r="B27" s="1" t="s">
        <v>30</v>
      </c>
      <c r="D27" s="4" t="n">
        <v>30000</v>
      </c>
    </row>
    <row r="28" customFormat="false" ht="12.8" hidden="false" customHeight="false" outlineLevel="0" collapsed="false">
      <c r="B28" s="1" t="s">
        <v>31</v>
      </c>
      <c r="D28" s="4" t="n">
        <f aca="false">20000*51</f>
        <v>1020000</v>
      </c>
    </row>
    <row r="29" customFormat="false" ht="12.8" hidden="false" customHeight="false" outlineLevel="0" collapsed="false">
      <c r="B29" s="22" t="s">
        <v>32</v>
      </c>
    </row>
    <row r="30" customFormat="false" ht="12.8" hidden="false" customHeight="false" outlineLevel="0" collapsed="false">
      <c r="B30" s="1" t="s">
        <v>33</v>
      </c>
    </row>
    <row r="32" customFormat="false" ht="12.8" hidden="false" customHeight="false" outlineLevel="0" collapsed="false">
      <c r="B32" s="1" t="s">
        <v>34</v>
      </c>
    </row>
    <row r="33" customFormat="false" ht="12.8" hidden="false" customHeight="false" outlineLevel="0" collapsed="false">
      <c r="B33" s="2" t="s">
        <v>35</v>
      </c>
    </row>
    <row r="35" customFormat="false" ht="12.8" hidden="false" customHeight="false" outlineLevel="0" collapsed="false">
      <c r="A35" s="22" t="s">
        <v>36</v>
      </c>
    </row>
    <row r="36" customFormat="false" ht="12.8" hidden="false" customHeight="false" outlineLevel="0" collapsed="false">
      <c r="A36" s="22"/>
    </row>
    <row r="37" customFormat="false" ht="12.8" hidden="false" customHeight="false" outlineLevel="0" collapsed="false">
      <c r="A37" s="22"/>
    </row>
    <row r="38" customFormat="false" ht="12.8" hidden="false" customHeight="false" outlineLevel="0" collapsed="false">
      <c r="A38" s="22"/>
    </row>
    <row r="39" customFormat="false" ht="12.8" hidden="false" customHeight="false" outlineLevel="0" collapsed="false">
      <c r="B39" s="2" t="s">
        <v>37</v>
      </c>
      <c r="C39" s="7" t="n">
        <v>85</v>
      </c>
    </row>
    <row r="40" customFormat="false" ht="12.8" hidden="false" customHeight="false" outlineLevel="0" collapsed="false">
      <c r="B40" s="2" t="s">
        <v>38</v>
      </c>
      <c r="C40" s="23" t="n">
        <v>0.05</v>
      </c>
    </row>
    <row r="41" customFormat="false" ht="12.8" hidden="false" customHeight="false" outlineLevel="0" collapsed="false">
      <c r="B41" s="2" t="s">
        <v>39</v>
      </c>
      <c r="C41" s="23" t="n">
        <v>0.02</v>
      </c>
    </row>
    <row r="42" customFormat="false" ht="12.8" hidden="false" customHeight="false" outlineLevel="0" collapsed="false">
      <c r="B42" s="2" t="s">
        <v>40</v>
      </c>
      <c r="C42" s="7" t="n">
        <v>1900000</v>
      </c>
    </row>
    <row r="43" customFormat="false" ht="12.8" hidden="false" customHeight="false" outlineLevel="0" collapsed="false">
      <c r="B43" s="2" t="s">
        <v>41</v>
      </c>
      <c r="C43" s="7" t="n">
        <v>6500000</v>
      </c>
    </row>
    <row r="44" customFormat="false" ht="12.8" hidden="false" customHeight="false" outlineLevel="0" collapsed="false">
      <c r="B44" s="2" t="s">
        <v>42</v>
      </c>
      <c r="C44" s="24" t="n">
        <v>0.6</v>
      </c>
    </row>
    <row r="45" customFormat="false" ht="12.8" hidden="false" customHeight="false" outlineLevel="0" collapsed="false">
      <c r="B45" s="2" t="s">
        <v>43</v>
      </c>
      <c r="C45" s="7" t="n">
        <v>410515000</v>
      </c>
    </row>
    <row r="46" customFormat="false" ht="12.8" hidden="false" customHeight="false" outlineLevel="0" collapsed="false">
      <c r="B46" s="2" t="s">
        <v>44</v>
      </c>
      <c r="C46" s="4" t="n">
        <v>40</v>
      </c>
    </row>
    <row r="49" customFormat="false" ht="12.8" hidden="false" customHeight="false" outlineLevel="0" collapsed="false">
      <c r="A49" s="2" t="s">
        <v>45</v>
      </c>
    </row>
    <row r="50" customFormat="false" ht="12.8" hidden="false" customHeight="false" outlineLevel="0" collapsed="false">
      <c r="A50" s="2" t="s">
        <v>46</v>
      </c>
    </row>
    <row r="51" customFormat="false" ht="12.8" hidden="false" customHeight="false" outlineLevel="0" collapsed="false">
      <c r="A51" s="2" t="s">
        <v>47</v>
      </c>
    </row>
    <row r="53" customFormat="false" ht="12.8" hidden="false" customHeight="false" outlineLevel="0" collapsed="false">
      <c r="A53" s="2" t="s">
        <v>48</v>
      </c>
    </row>
    <row r="56" customFormat="false" ht="12.8" hidden="false" customHeight="false" outlineLevel="0" collapsed="false">
      <c r="A56" s="14" t="s">
        <v>49</v>
      </c>
      <c r="B56" s="15"/>
      <c r="C56" s="15"/>
      <c r="D56" s="15"/>
      <c r="E56" s="15"/>
      <c r="F56" s="15"/>
      <c r="G56" s="15"/>
      <c r="H56" s="15"/>
    </row>
    <row r="57" customFormat="false" ht="12.8" hidden="false" customHeight="false" outlineLevel="0" collapsed="false">
      <c r="F57" s="1" t="s">
        <v>50</v>
      </c>
    </row>
    <row r="58" customFormat="false" ht="12.8" hidden="false" customHeight="false" outlineLevel="0" collapsed="false">
      <c r="B58" s="25" t="s">
        <v>51</v>
      </c>
      <c r="C58" s="7" t="n">
        <v>630966000</v>
      </c>
      <c r="E58" s="26" t="s">
        <v>52</v>
      </c>
      <c r="F58" s="27" t="n">
        <f aca="false">C58/1000000</f>
        <v>630.966</v>
      </c>
    </row>
    <row r="59" customFormat="false" ht="12.8" hidden="false" customHeight="false" outlineLevel="0" collapsed="false">
      <c r="B59" s="28" t="n">
        <v>0.045</v>
      </c>
      <c r="C59" s="29" t="n">
        <f aca="false">$G$22/B59</f>
        <v>676738387.760684</v>
      </c>
      <c r="D59" s="30" t="n">
        <f aca="false">C59/$C$58-1</f>
        <v>0.0725433506095159</v>
      </c>
      <c r="F59" s="31" t="n">
        <f aca="false">C59/1000000</f>
        <v>676.738387760684</v>
      </c>
    </row>
    <row r="60" customFormat="false" ht="12.8" hidden="false" customHeight="false" outlineLevel="0" collapsed="false">
      <c r="B60" s="28" t="n">
        <v>0.0475</v>
      </c>
      <c r="C60" s="29" t="n">
        <f aca="false">$G$22/B60</f>
        <v>641120577.878542</v>
      </c>
      <c r="D60" s="30" t="n">
        <f aca="false">C60/$C$58-1</f>
        <v>0.016093700577436</v>
      </c>
      <c r="F60" s="31" t="n">
        <f aca="false">C60/1000000</f>
        <v>641.120577878543</v>
      </c>
    </row>
    <row r="61" customFormat="false" ht="12.8" hidden="false" customHeight="false" outlineLevel="0" collapsed="false">
      <c r="B61" s="28" t="n">
        <v>0.05</v>
      </c>
      <c r="C61" s="32" t="n">
        <f aca="false">$G$22/B61</f>
        <v>609064548.984615</v>
      </c>
      <c r="D61" s="30" t="n">
        <f aca="false">C61/$C$58-1</f>
        <v>-0.0347109844514358</v>
      </c>
      <c r="E61" s="26" t="s">
        <v>53</v>
      </c>
      <c r="F61" s="27" t="n">
        <f aca="false">C61/1000000</f>
        <v>609.064548984615</v>
      </c>
    </row>
    <row r="62" customFormat="false" ht="12.8" hidden="false" customHeight="false" outlineLevel="0" collapsed="false">
      <c r="B62" s="33" t="n">
        <v>0.0525</v>
      </c>
      <c r="C62" s="29" t="n">
        <f aca="false">$G$22/B62</f>
        <v>580061475.223443</v>
      </c>
      <c r="D62" s="30" t="n">
        <f aca="false">C62/$C$58-1</f>
        <v>-0.0806771280489864</v>
      </c>
      <c r="F62" s="31" t="n">
        <f aca="false">C62/1000000</f>
        <v>580.061475223443</v>
      </c>
    </row>
    <row r="63" customFormat="false" ht="12.8" hidden="false" customHeight="false" outlineLevel="0" collapsed="false">
      <c r="B63" s="28" t="n">
        <v>0.055</v>
      </c>
      <c r="C63" s="7" t="n">
        <f aca="false">$G$22/B63</f>
        <v>553695044.531469</v>
      </c>
      <c r="D63" s="23" t="n">
        <f aca="false">C63/$C$58-1</f>
        <v>-0.122464531319487</v>
      </c>
      <c r="E63" s="26" t="s">
        <v>54</v>
      </c>
      <c r="F63" s="27" t="n">
        <f aca="false">C63/1000000</f>
        <v>553.695044531469</v>
      </c>
    </row>
    <row r="64" customFormat="false" ht="12.8" hidden="false" customHeight="false" outlineLevel="0" collapsed="false">
      <c r="B64" s="28" t="n">
        <v>0.06</v>
      </c>
      <c r="C64" s="7" t="n">
        <f aca="false">$G$22/B64</f>
        <v>507553790.820513</v>
      </c>
      <c r="D64" s="23" t="n">
        <f aca="false">C64/$C$58-1</f>
        <v>-0.195592487042863</v>
      </c>
      <c r="F64" s="31" t="n">
        <f aca="false">C64/1000000</f>
        <v>507.553790820513</v>
      </c>
    </row>
    <row r="65" customFormat="false" ht="12.8" hidden="false" customHeight="false" outlineLevel="0" collapsed="false">
      <c r="B65" s="28" t="n">
        <v>0.065</v>
      </c>
      <c r="C65" s="7" t="n">
        <f aca="false">$G$22/B65</f>
        <v>468511191.526627</v>
      </c>
      <c r="D65" s="23" t="n">
        <f aca="false">C65/$C$58-1</f>
        <v>-0.257469988039566</v>
      </c>
      <c r="F65" s="31" t="n">
        <f aca="false">C65/1000000</f>
        <v>468.511191526627</v>
      </c>
    </row>
    <row r="66" customFormat="false" ht="12.8" hidden="false" customHeight="false" outlineLevel="0" collapsed="false">
      <c r="B66" s="28" t="s">
        <v>55</v>
      </c>
      <c r="C66" s="7"/>
      <c r="D66" s="23"/>
      <c r="F66" s="31" t="n">
        <v>270</v>
      </c>
    </row>
    <row r="67" customFormat="false" ht="12.8" hidden="false" customHeight="false" outlineLevel="0" collapsed="false">
      <c r="B67" s="1" t="s">
        <v>56</v>
      </c>
      <c r="F67" s="1" t="n">
        <v>274.4</v>
      </c>
    </row>
    <row r="68" customFormat="false" ht="12.8" hidden="false" customHeight="false" outlineLevel="0" collapsed="false">
      <c r="B68" s="28" t="s">
        <v>57</v>
      </c>
      <c r="C68" s="7"/>
      <c r="D68" s="23"/>
      <c r="F68" s="31"/>
    </row>
    <row r="69" customFormat="false" ht="12.8" hidden="false" customHeight="false" outlineLevel="0" collapsed="false">
      <c r="A69" s="1" t="s">
        <v>58</v>
      </c>
      <c r="B69" s="34" t="n">
        <v>400000</v>
      </c>
      <c r="C69" s="2"/>
      <c r="D69" s="2"/>
      <c r="E69" s="2"/>
      <c r="F69" s="2"/>
      <c r="G69" s="2"/>
    </row>
    <row r="70" customFormat="false" ht="12.8" hidden="false" customHeight="false" outlineLevel="0" collapsed="false">
      <c r="B70" s="34" t="n">
        <v>1000</v>
      </c>
      <c r="C70" s="7" t="n">
        <f aca="false">B69*B70</f>
        <v>400000000</v>
      </c>
      <c r="D70" s="2"/>
      <c r="E70" s="2"/>
      <c r="F70" s="31" t="n">
        <f aca="false">C70/1000000</f>
        <v>400</v>
      </c>
      <c r="G70" s="2"/>
    </row>
    <row r="71" customFormat="false" ht="12.8" hidden="false" customHeight="false" outlineLevel="0" collapsed="false">
      <c r="B71" s="34"/>
      <c r="C71" s="2"/>
      <c r="D71" s="2"/>
      <c r="E71" s="2"/>
      <c r="F71" s="2"/>
      <c r="G71" s="2"/>
    </row>
    <row r="72" customFormat="false" ht="12.8" hidden="false" customHeight="false" outlineLevel="0" collapsed="false">
      <c r="A72" s="15"/>
      <c r="B72" s="14" t="s">
        <v>59</v>
      </c>
      <c r="C72" s="35"/>
      <c r="D72" s="36" t="s">
        <v>60</v>
      </c>
      <c r="E72" s="36" t="s">
        <v>61</v>
      </c>
      <c r="F72" s="35"/>
      <c r="G72" s="35"/>
      <c r="H72" s="15"/>
    </row>
    <row r="73" customFormat="false" ht="23.85" hidden="false" customHeight="false" outlineLevel="0" collapsed="false">
      <c r="B73" s="34" t="s">
        <v>62</v>
      </c>
      <c r="D73" s="7" t="n">
        <v>2500000</v>
      </c>
      <c r="E73" s="7" t="n">
        <v>3500000</v>
      </c>
      <c r="G73" s="2"/>
    </row>
    <row r="74" customFormat="false" ht="23.85" hidden="false" customHeight="false" outlineLevel="0" collapsed="false">
      <c r="B74" s="34" t="s">
        <v>63</v>
      </c>
      <c r="D74" s="7" t="n">
        <v>1500000</v>
      </c>
      <c r="E74" s="7" t="n">
        <v>2500000</v>
      </c>
      <c r="G74" s="2"/>
    </row>
    <row r="75" customFormat="false" ht="12.8" hidden="false" customHeight="false" outlineLevel="0" collapsed="false">
      <c r="B75" s="34" t="s">
        <v>64</v>
      </c>
      <c r="D75" s="7" t="n">
        <v>500000</v>
      </c>
      <c r="E75" s="7" t="n">
        <v>900000</v>
      </c>
      <c r="G75" s="2"/>
    </row>
    <row r="76" customFormat="false" ht="12.8" hidden="false" customHeight="false" outlineLevel="0" collapsed="false">
      <c r="B76" s="34" t="s">
        <v>65</v>
      </c>
      <c r="D76" s="7" t="n">
        <v>800000</v>
      </c>
      <c r="E76" s="7" t="n">
        <v>1400000</v>
      </c>
      <c r="G76" s="2"/>
    </row>
    <row r="77" customFormat="false" ht="12.8" hidden="false" customHeight="false" outlineLevel="0" collapsed="false">
      <c r="B77" s="34" t="s">
        <v>66</v>
      </c>
      <c r="D77" s="7" t="n">
        <v>800000</v>
      </c>
      <c r="E77" s="7" t="n">
        <v>1500000</v>
      </c>
      <c r="G77" s="2"/>
    </row>
    <row r="78" customFormat="false" ht="12.8" hidden="false" customHeight="false" outlineLevel="0" collapsed="false">
      <c r="B78" s="34" t="s">
        <v>67</v>
      </c>
      <c r="D78" s="7" t="n">
        <v>700000</v>
      </c>
      <c r="E78" s="7" t="n">
        <v>1100000</v>
      </c>
      <c r="G78" s="2"/>
    </row>
    <row r="79" customFormat="false" ht="12.8" hidden="false" customHeight="false" outlineLevel="0" collapsed="false">
      <c r="B79" s="34" t="s">
        <v>68</v>
      </c>
      <c r="D79" s="7" t="n">
        <v>400000</v>
      </c>
      <c r="E79" s="7" t="n">
        <v>700000</v>
      </c>
      <c r="G79" s="2"/>
    </row>
    <row r="80" customFormat="false" ht="12.8" hidden="false" customHeight="false" outlineLevel="0" collapsed="false">
      <c r="B80" s="34" t="s">
        <v>69</v>
      </c>
      <c r="D80" s="7" t="n">
        <v>300000</v>
      </c>
      <c r="E80" s="7" t="n">
        <v>700000</v>
      </c>
      <c r="G80" s="2"/>
    </row>
    <row r="81" customFormat="false" ht="23.85" hidden="false" customHeight="false" outlineLevel="0" collapsed="false">
      <c r="B81" s="34" t="s">
        <v>70</v>
      </c>
      <c r="D81" s="7" t="n">
        <v>500000</v>
      </c>
      <c r="E81" s="7" t="n">
        <v>900000</v>
      </c>
      <c r="G81" s="2"/>
    </row>
    <row r="82" customFormat="false" ht="12.8" hidden="false" customHeight="false" outlineLevel="0" collapsed="false">
      <c r="B82" s="34" t="s">
        <v>71</v>
      </c>
      <c r="D82" s="7" t="n">
        <v>500000</v>
      </c>
      <c r="E82" s="7" t="n">
        <v>2000000</v>
      </c>
      <c r="G82" s="2"/>
    </row>
    <row r="83" customFormat="false" ht="12.8" hidden="false" customHeight="false" outlineLevel="0" collapsed="false">
      <c r="A83" s="15"/>
      <c r="B83" s="37" t="s">
        <v>72</v>
      </c>
      <c r="C83" s="15"/>
      <c r="D83" s="38" t="n">
        <f aca="false">SUM(D73:D82)</f>
        <v>8500000</v>
      </c>
      <c r="E83" s="38" t="n">
        <f aca="false">SUM(E73:E82)</f>
        <v>15200000</v>
      </c>
      <c r="F83" s="15"/>
      <c r="G83" s="35"/>
      <c r="H83" s="15"/>
    </row>
    <row r="87" customFormat="false" ht="12.8" hidden="false" customHeight="false" outlineLevel="0" collapsed="false">
      <c r="B87" s="1" t="s">
        <v>73</v>
      </c>
    </row>
    <row r="88" customFormat="false" ht="12.8" hidden="false" customHeight="false" outlineLevel="0" collapsed="false">
      <c r="B88" s="1" t="s">
        <v>74</v>
      </c>
    </row>
    <row r="89" customFormat="false" ht="12.8" hidden="false" customHeight="false" outlineLevel="0" collapsed="false">
      <c r="B89" s="1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2026-10-25T21:21:49Z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