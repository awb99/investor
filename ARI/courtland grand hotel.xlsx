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<sst xmlns="http://schemas.openxmlformats.org/spreadsheetml/2006/main" count="60" uniqueCount="57">
  <si>
    <t xml:space="preserve">Courtland Grand Hotel</t>
  </si>
  <si>
    <t xml:space="preserve">165 Courtland Street NE, Atlanta, GA 30303</t>
  </si>
  <si>
    <t xml:space="preserve">a 763-room full-service hotel</t>
  </si>
  <si>
    <t xml:space="preserve">Site</t>
  </si>
  <si>
    <t xml:space="preserve">https://courtlandgrandhotel.com/</t>
  </si>
  <si>
    <t xml:space="preserve">Photos</t>
  </si>
  <si>
    <t xml:space="preserve">https://www.google.com/search?tbm=isch&amp;q=Courtland+Grand+Hotel+Atlanta+Sheraton</t>
  </si>
  <si>
    <t xml:space="preserve">Q1</t>
  </si>
  <si>
    <t xml:space="preserve">Q2</t>
  </si>
  <si>
    <t xml:space="preserve">Q3</t>
  </si>
  <si>
    <t xml:space="preserve">Q4</t>
  </si>
  <si>
    <t xml:space="preserve">Full year</t>
  </si>
  <si>
    <t xml:space="preserve">Basis</t>
  </si>
  <si>
    <t xml:space="preserve">Reported</t>
  </si>
  <si>
    <t xml:space="preserve">Seasonal estimate</t>
  </si>
  <si>
    <t xml:space="preserve">Seasonal index, Q1 = 100</t>
  </si>
  <si>
    <t xml:space="preserve">Share of year</t>
  </si>
  <si>
    <t xml:space="preserve">Revenue</t>
  </si>
  <si>
    <t xml:space="preserve">Operating expense</t>
  </si>
  <si>
    <t xml:space="preserve">Operating earnings</t>
  </si>
  <si>
    <t xml:space="preserve">Level implied by Q1</t>
  </si>
  <si>
    <t xml:space="preserve">Level implied by Q2</t>
  </si>
  <si>
    <t xml:space="preserve">Average level, a normal Q1</t>
  </si>
  <si>
    <t xml:space="preserve">Variable cost per dollar of revenue</t>
  </si>
  <si>
    <t xml:space="preserve">Fixed cost per quarter</t>
  </si>
  <si>
    <t xml:space="preserve">Valuation</t>
  </si>
  <si>
    <t xml:space="preserve">Scenario</t>
  </si>
  <si>
    <t xml:space="preserve">Discount rate</t>
  </si>
  <si>
    <t xml:space="preserve">Earnings used</t>
  </si>
  <si>
    <t xml:space="preserve">Premium to book</t>
  </si>
  <si>
    <t xml:space="preserve">Book value</t>
  </si>
  <si>
    <t xml:space="preserve">BOOK</t>
  </si>
  <si>
    <t xml:space="preserve">9.5% discount, twice the first half</t>
  </si>
  <si>
    <t xml:space="preserve">10.5% discount, twice the first half</t>
  </si>
  <si>
    <t xml:space="preserve">9.5% discount, seasonal year</t>
  </si>
  <si>
    <t xml:space="preserve">HIGH</t>
  </si>
  <si>
    <t xml:space="preserve">10.5% discount, seasonal year</t>
  </si>
  <si>
    <t xml:space="preserve">LOW</t>
  </si>
  <si>
    <t xml:space="preserve">2023 in leu of forclosure</t>
  </si>
  <si>
    <t xml:space="preserve">loan give initially</t>
  </si>
  <si>
    <t xml:space="preserve">Notes</t>
  </si>
  <si>
    <t xml:space="preserve">The hotel was the Sheraton Atlanta. Apollo took title by deed-in-lieu on March 31, 2023. In October 2023 it was rebranded as the Courtland Grand, Trademark Collection by Wyndham.</t>
  </si>
  <si>
    <t xml:space="preserve">ARI took the Atlanta hotel through foreclosure</t>
  </si>
  <si>
    <t xml:space="preserve">Operating earnings are hotel revenue minus operating expense, before depreciation and before interest. </t>
  </si>
  <si>
    <t xml:space="preserve">The seasonal index is Fulton County accommodation receipts, the 1% local-option sales-tax distribution in the Georgia Department of Revenue Sales Tax Commodity Report. Fulton County contains downtown Atlanta, including 165 Courtland Street. For each of 2018, 2019, 2024, and 2025, each quarter is divided by that year’s average quarter. Those factors are averaged, then rescaled so Q1 is 100. The index is 100, 106.8, 95.0, and 98.0. Those quarters are about 25%, 27%, 24%, and 24% of the year. Spring is the high quarter. Summer is the soft quarter.</t>
  </si>
  <si>
    <t xml:space="preserve">2020 and 2021 are left out because closures broke the pattern. 2022 is left out because the first quarter was still weak. 2023 is left out because the November distribution was about $2.2 million against a typical $1.5 million. The Department says a distribution generally reflects the prior month’s sales. The printed month is the one used here: January is the trough, and the 2020 collapse shows up in April and May, which is when Atlanta hotels emptied.</t>
  </si>
  <si>
    <t xml:space="preserve">Q3 and Q4 revenue start from a normal Q1. Reported Q1 is one reading of that level. Reported Q2 divided by 1.068 is the other. The estimate uses the average of the two, then multiplies by 0.950 for Q3 and by 0.980 for Q4.</t>
  </si>
  <si>
    <t xml:space="preserve">The 9.5% and 10.5% rows that use twice the first half ignore that pattern. Twice the half is the reported first-half operating earnings doubled. The seasonal rows divide the full-year operating earnings, including the estimated third and fourth quarters, by the same rates.</t>
  </si>
  <si>
    <t xml:space="preserve">From Q1 to Q2, revenue rose $1.4 million and operating expense rose $1.8 million, so earnings fell. Fitting a fixed cost and a cost per revenue dollar to those two quarters gives a variable cost above one dollar and a negative fixed cost. That fit reproduces the two reported quarters, and it is what the Q3 and Q4 earnings use. It is not a stable description of the hotel’s cost. The revenue estimate does not depend on it.</t>
  </si>
  <si>
    <t xml:space="preserve">Source for the hotel figures: Note 5 of the June 30, 2026 Form 10-Q, and Schedule III of the 2025 Form 10-K. Source for the index: Georgia Department of Revenue, Sales Tax Commodity Report, Fulton County accommodations, 2018, 2019, 2024, and 2025.</t>
  </si>
  <si>
    <t xml:space="preserve">2024 earnings</t>
  </si>
  <si>
    <t xml:space="preserve">2025 earnings</t>
  </si>
  <si>
    <t xml:space="preserve">A fire in October 2025 took 271 rooms offline</t>
  </si>
  <si>
    <t xml:space="preserve">The January 28, 2026 presentation is the filing that identifies the current flag: Courtland Grand, a Wyndham franchise, managed by HEI.</t>
  </si>
  <si>
    <t xml:space="preserve">Bisnow (February 25, 2025) reported that this is the old Sheraton Atlanta at 165 Courtland Street NE, switched in October 2023 to Wyndham’s Trademark Collection under the Courtland Grand name.</t>
  </si>
  <si>
    <t xml:space="preserve">Commercial Disaster Recovery did a 26-week, about $13 million job on the 12-story South Tower: contents removal, fire remediation, and asbestos abatement across 148 guest rooms, two boardrooms, corridors, and the rooftop mechanical room.</t>
  </si>
  <si>
    <t xml:space="preserve">When that work ended, CDR turned the tower back to the owner for reconstruction. The case study was posted with images dated July 2026, and CDR promoted the finished cleanup on October 15, 2026. They never published a start or end date, so the exact handover day is not public.</t>
  </si>
</sst>
</file>

<file path=xl/styles.xml><?xml version="1.0" encoding="utf-8"?>
<styleSheet xmlns="http://schemas.openxmlformats.org/spreadsheetml/2006/main">
  <numFmts count="5">
    <numFmt numFmtId="164" formatCode="General"/>
    <numFmt numFmtId="165" formatCode="0.0%"/>
    <numFmt numFmtId="166" formatCode="0.0"/>
    <numFmt numFmtId="167" formatCode="0%"/>
    <numFmt numFmtId="168" formatCode="0.00"/>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4"/>
      <color rgb="FFFF0000"/>
      <name val="Arial"/>
      <family val="2"/>
      <charset val="1"/>
    </font>
  </fonts>
  <fills count="4">
    <fill>
      <patternFill patternType="none"/>
    </fill>
    <fill>
      <patternFill patternType="gray125"/>
    </fill>
    <fill>
      <patternFill patternType="solid">
        <fgColor rgb="FFB4C7DC"/>
        <bgColor rgb="FFCCCCFF"/>
      </patternFill>
    </fill>
    <fill>
      <patternFill patternType="solid">
        <fgColor rgb="FFFFD7D7"/>
        <bgColor rgb="FFFFFFCC"/>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6" fontId="0" fillId="3"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true" showOutlineSymbols="true" defaultGridColor="true" view="normal" topLeftCell="A27" colorId="64" zoomScale="100" zoomScaleNormal="100" zoomScalePageLayoutView="100" workbookViewId="0">
      <selection pane="topLeft" activeCell="D28" activeCellId="0" sqref="D28"/>
    </sheetView>
  </sheetViews>
  <sheetFormatPr defaultColWidth="11.53515625" defaultRowHeight="12.8" customHeight="false" zeroHeight="false" outlineLevelRow="0" outlineLevelCol="0"/>
  <cols>
    <col collapsed="false" customWidth="true" hidden="false" outlineLevel="0" max="1" min="1" style="1" width="28.1"/>
    <col collapsed="false" customWidth="true" hidden="false" outlineLevel="0" max="4" min="4" style="1" width="14.74"/>
  </cols>
  <sheetData>
    <row r="1" customFormat="false" ht="12.8" hidden="false" customHeight="false" outlineLevel="0" collapsed="false">
      <c r="A1" s="2" t="s">
        <v>0</v>
      </c>
      <c r="B1" s="3"/>
      <c r="C1" s="3"/>
      <c r="D1" s="3"/>
      <c r="E1" s="3"/>
      <c r="F1" s="3"/>
    </row>
    <row r="2" customFormat="false" ht="12.8" hidden="false" customHeight="false" outlineLevel="0" collapsed="false">
      <c r="A2" s="4" t="s">
        <v>1</v>
      </c>
      <c r="C2" s="1" t="s">
        <v>2</v>
      </c>
    </row>
    <row r="3" customFormat="false" ht="12.8" hidden="false" customHeight="false" outlineLevel="0" collapsed="false">
      <c r="A3" s="4" t="s">
        <v>3</v>
      </c>
      <c r="B3" s="4" t="s">
        <v>4</v>
      </c>
    </row>
    <row r="4" customFormat="false" ht="12.8" hidden="false" customHeight="false" outlineLevel="0" collapsed="false">
      <c r="A4" s="4" t="s">
        <v>5</v>
      </c>
      <c r="B4" s="4" t="s">
        <v>6</v>
      </c>
    </row>
    <row r="6" customFormat="false" ht="12.8" hidden="false" customHeight="false" outlineLevel="0" collapsed="false">
      <c r="A6" s="3"/>
      <c r="B6" s="5" t="s">
        <v>7</v>
      </c>
      <c r="C6" s="5" t="s">
        <v>8</v>
      </c>
      <c r="D6" s="5" t="s">
        <v>9</v>
      </c>
      <c r="E6" s="5" t="s">
        <v>10</v>
      </c>
      <c r="F6" s="5" t="s">
        <v>11</v>
      </c>
    </row>
    <row r="7" customFormat="false" ht="12.8" hidden="false" customHeight="false" outlineLevel="0" collapsed="false">
      <c r="A7" s="4" t="s">
        <v>12</v>
      </c>
      <c r="B7" s="4" t="s">
        <v>13</v>
      </c>
      <c r="C7" s="4" t="s">
        <v>13</v>
      </c>
      <c r="D7" s="4" t="s">
        <v>14</v>
      </c>
      <c r="E7" s="4" t="s">
        <v>14</v>
      </c>
    </row>
    <row r="9" customFormat="false" ht="12.8" hidden="false" customHeight="false" outlineLevel="0" collapsed="false">
      <c r="A9" s="4" t="s">
        <v>15</v>
      </c>
      <c r="B9" s="4" t="n">
        <v>100</v>
      </c>
      <c r="C9" s="4" t="n">
        <v>106.8</v>
      </c>
      <c r="D9" s="4" t="n">
        <v>95</v>
      </c>
      <c r="E9" s="4" t="n">
        <v>98</v>
      </c>
    </row>
    <row r="10" customFormat="false" ht="12.8" hidden="false" customHeight="false" outlineLevel="0" collapsed="false">
      <c r="A10" s="4" t="s">
        <v>16</v>
      </c>
      <c r="B10" s="6" t="n">
        <f aca="false">B9/SUM($B$9:$E$9)</f>
        <v>0.250125062531266</v>
      </c>
      <c r="C10" s="6" t="n">
        <f aca="false">C9/SUM($B$9:$E$9)</f>
        <v>0.267133566783392</v>
      </c>
      <c r="D10" s="6" t="n">
        <f aca="false">D9/SUM($B$9:$E$9)</f>
        <v>0.237618809404702</v>
      </c>
      <c r="E10" s="6" t="n">
        <f aca="false">E9/SUM($B$9:$E$9)</f>
        <v>0.24512256128064</v>
      </c>
      <c r="F10" s="6" t="n">
        <f aca="false">SUM(B10:E10)</f>
        <v>1</v>
      </c>
    </row>
    <row r="12" customFormat="false" ht="12.8" hidden="false" customHeight="false" outlineLevel="0" collapsed="false">
      <c r="A12" s="4" t="s">
        <v>17</v>
      </c>
      <c r="B12" s="4" t="n">
        <v>4.7</v>
      </c>
      <c r="C12" s="4" t="n">
        <v>6.1</v>
      </c>
      <c r="D12" s="7" t="n">
        <f aca="false">$B$18*D9/100</f>
        <v>4.94551498127341</v>
      </c>
      <c r="E12" s="7" t="n">
        <f aca="false">$B$18*E9/100</f>
        <v>5.10168913857678</v>
      </c>
      <c r="F12" s="7" t="n">
        <f aca="false">SUM(B12:E12)</f>
        <v>20.8472041198502</v>
      </c>
    </row>
    <row r="13" customFormat="false" ht="12.8" hidden="false" customHeight="false" outlineLevel="0" collapsed="false">
      <c r="A13" s="8" t="s">
        <v>18</v>
      </c>
      <c r="B13" s="8" t="n">
        <f aca="false">B12-B14</f>
        <v>3.8</v>
      </c>
      <c r="C13" s="8" t="n">
        <f aca="false">C12-C14</f>
        <v>5.6</v>
      </c>
      <c r="D13" s="9" t="n">
        <f aca="false">$B$21+$B$20*D12</f>
        <v>4.1156621187801</v>
      </c>
      <c r="E13" s="9" t="n">
        <f aca="false">$B$21+$B$20*E12</f>
        <v>4.31645746388443</v>
      </c>
      <c r="F13" s="9" t="n">
        <f aca="false">SUM(B13:E13)</f>
        <v>17.8321195826645</v>
      </c>
    </row>
    <row r="14" customFormat="false" ht="12.8" hidden="false" customHeight="false" outlineLevel="0" collapsed="false">
      <c r="A14" s="10" t="s">
        <v>19</v>
      </c>
      <c r="B14" s="10" t="n">
        <v>0.9</v>
      </c>
      <c r="C14" s="10" t="n">
        <v>0.5</v>
      </c>
      <c r="D14" s="11" t="n">
        <f aca="false">D12-D13</f>
        <v>0.829852862493311</v>
      </c>
      <c r="E14" s="11" t="n">
        <f aca="false">E12-E13</f>
        <v>0.785231674692349</v>
      </c>
      <c r="F14" s="11" t="n">
        <f aca="false">SUM(B14:E14)</f>
        <v>3.01508453718566</v>
      </c>
    </row>
    <row r="16" customFormat="false" ht="12.8" hidden="false" customHeight="false" outlineLevel="0" collapsed="false">
      <c r="A16" s="4" t="s">
        <v>20</v>
      </c>
      <c r="B16" s="4" t="n">
        <f aca="false">B12/(B9/100)</f>
        <v>4.7</v>
      </c>
    </row>
    <row r="17" customFormat="false" ht="12.8" hidden="false" customHeight="false" outlineLevel="0" collapsed="false">
      <c r="A17" s="4" t="s">
        <v>21</v>
      </c>
      <c r="B17" s="4" t="n">
        <f aca="false">C12/(C9/100)</f>
        <v>5.71161048689139</v>
      </c>
    </row>
    <row r="18" customFormat="false" ht="12.8" hidden="false" customHeight="false" outlineLevel="0" collapsed="false">
      <c r="A18" s="4" t="s">
        <v>22</v>
      </c>
      <c r="B18" s="4" t="n">
        <f aca="false">AVERAGE(B16:B17)</f>
        <v>5.20580524344569</v>
      </c>
    </row>
    <row r="20" customFormat="false" ht="12.8" hidden="false" customHeight="false" outlineLevel="0" collapsed="false">
      <c r="A20" s="4" t="s">
        <v>23</v>
      </c>
      <c r="B20" s="4" t="n">
        <f aca="false">(C13-B13)/(C12-B12)</f>
        <v>1.28571428571429</v>
      </c>
    </row>
    <row r="21" customFormat="false" ht="12.8" hidden="false" customHeight="false" outlineLevel="0" collapsed="false">
      <c r="A21" s="4" t="s">
        <v>24</v>
      </c>
      <c r="B21" s="4" t="n">
        <f aca="false">B13-B20*B12</f>
        <v>-2.24285714285714</v>
      </c>
    </row>
    <row r="23" customFormat="false" ht="12.8" hidden="false" customHeight="false" outlineLevel="0" collapsed="false">
      <c r="A23" s="4" t="s">
        <v>25</v>
      </c>
    </row>
    <row r="24" customFormat="false" ht="12.8" hidden="false" customHeight="false" outlineLevel="0" collapsed="false">
      <c r="A24" s="10" t="s">
        <v>26</v>
      </c>
      <c r="B24" s="10" t="s">
        <v>27</v>
      </c>
      <c r="C24" s="10" t="s">
        <v>28</v>
      </c>
      <c r="D24" s="10" t="s">
        <v>25</v>
      </c>
      <c r="E24" s="10" t="s">
        <v>29</v>
      </c>
    </row>
    <row r="25" customFormat="false" ht="12.8" hidden="false" customHeight="false" outlineLevel="0" collapsed="false">
      <c r="A25" s="4" t="s">
        <v>30</v>
      </c>
      <c r="D25" s="12" t="n">
        <v>58.2</v>
      </c>
      <c r="E25" s="13" t="n">
        <f aca="false">D25/$D$25-1</f>
        <v>0</v>
      </c>
      <c r="F25" s="14" t="s">
        <v>31</v>
      </c>
    </row>
    <row r="26" customFormat="false" ht="12.8" hidden="false" customHeight="false" outlineLevel="0" collapsed="false">
      <c r="A26" s="4" t="s">
        <v>32</v>
      </c>
      <c r="B26" s="6" t="n">
        <v>0.095</v>
      </c>
      <c r="C26" s="4" t="n">
        <f aca="false">(B14+C14)*2</f>
        <v>2.8</v>
      </c>
      <c r="D26" s="7" t="n">
        <f aca="false">C26/B26</f>
        <v>29.4736842105263</v>
      </c>
      <c r="E26" s="13" t="n">
        <f aca="false">D26/$D$25-1</f>
        <v>-0.493579309097486</v>
      </c>
    </row>
    <row r="27" customFormat="false" ht="12.8" hidden="false" customHeight="false" outlineLevel="0" collapsed="false">
      <c r="A27" s="4" t="s">
        <v>33</v>
      </c>
      <c r="B27" s="6" t="n">
        <v>0.105</v>
      </c>
      <c r="C27" s="4" t="n">
        <f aca="false">(B14+C14)*2</f>
        <v>2.8</v>
      </c>
      <c r="D27" s="7" t="n">
        <f aca="false">C27/B27</f>
        <v>26.6666666666667</v>
      </c>
      <c r="E27" s="13" t="n">
        <f aca="false">D27/$D$25-1</f>
        <v>-0.541809851088202</v>
      </c>
    </row>
    <row r="28" customFormat="false" ht="12.8" hidden="false" customHeight="false" outlineLevel="0" collapsed="false">
      <c r="A28" s="4" t="s">
        <v>34</v>
      </c>
      <c r="B28" s="6" t="n">
        <v>0.095</v>
      </c>
      <c r="C28" s="15" t="n">
        <f aca="false">F14</f>
        <v>3.01508453718566</v>
      </c>
      <c r="D28" s="16" t="n">
        <f aca="false">C28/B28</f>
        <v>31.7377319703754</v>
      </c>
      <c r="E28" s="13" t="n">
        <f aca="false">D28/$D$25-1</f>
        <v>-0.454678144838911</v>
      </c>
      <c r="F28" s="14" t="s">
        <v>35</v>
      </c>
    </row>
    <row r="29" customFormat="false" ht="12.8" hidden="false" customHeight="false" outlineLevel="0" collapsed="false">
      <c r="A29" s="4" t="s">
        <v>36</v>
      </c>
      <c r="B29" s="6" t="n">
        <v>0.105</v>
      </c>
      <c r="C29" s="15" t="n">
        <f aca="false">F14</f>
        <v>3.01508453718566</v>
      </c>
      <c r="D29" s="16" t="n">
        <f aca="false">C29/B29</f>
        <v>28.7150908303396</v>
      </c>
      <c r="E29" s="13" t="n">
        <f aca="false">D29/$D$25-1</f>
        <v>-0.506613559616158</v>
      </c>
      <c r="F29" s="14" t="s">
        <v>37</v>
      </c>
    </row>
    <row r="30" customFormat="false" ht="12.8" hidden="false" customHeight="false" outlineLevel="0" collapsed="false">
      <c r="A30" s="10" t="s">
        <v>38</v>
      </c>
      <c r="D30" s="10" t="n">
        <v>75</v>
      </c>
    </row>
    <row r="31" customFormat="false" ht="12.8" hidden="false" customHeight="false" outlineLevel="0" collapsed="false">
      <c r="A31" s="10" t="s">
        <v>39</v>
      </c>
      <c r="B31" s="4"/>
      <c r="C31" s="4"/>
      <c r="D31" s="10" t="n">
        <v>98.2</v>
      </c>
    </row>
    <row r="32" customFormat="false" ht="12.8" hidden="false" customHeight="false" outlineLevel="0" collapsed="false">
      <c r="A32" s="4"/>
      <c r="B32" s="4"/>
    </row>
    <row r="34" customFormat="false" ht="12.8" hidden="false" customHeight="false" outlineLevel="0" collapsed="false">
      <c r="A34" s="4" t="s">
        <v>40</v>
      </c>
    </row>
    <row r="35" customFormat="false" ht="12.8" hidden="false" customHeight="false" outlineLevel="0" collapsed="false">
      <c r="A35" s="4" t="s">
        <v>41</v>
      </c>
    </row>
    <row r="36" customFormat="false" ht="12.8" hidden="false" customHeight="false" outlineLevel="0" collapsed="false">
      <c r="A36" s="10" t="s">
        <v>42</v>
      </c>
    </row>
    <row r="37" customFormat="false" ht="12.8" hidden="false" customHeight="false" outlineLevel="0" collapsed="false">
      <c r="A37" s="4" t="s">
        <v>43</v>
      </c>
    </row>
    <row r="38" customFormat="false" ht="12.8" hidden="false" customHeight="false" outlineLevel="0" collapsed="false">
      <c r="A38" s="4"/>
    </row>
    <row r="39" customFormat="false" ht="12.8" hidden="false" customHeight="false" outlineLevel="0" collapsed="false">
      <c r="A39" s="4" t="s">
        <v>44</v>
      </c>
    </row>
    <row r="40" customFormat="false" ht="12.8" hidden="false" customHeight="false" outlineLevel="0" collapsed="false">
      <c r="A40" s="4" t="s">
        <v>45</v>
      </c>
    </row>
    <row r="41" customFormat="false" ht="12.8" hidden="false" customHeight="false" outlineLevel="0" collapsed="false">
      <c r="A41" s="4" t="s">
        <v>46</v>
      </c>
    </row>
    <row r="42" customFormat="false" ht="12.8" hidden="false" customHeight="false" outlineLevel="0" collapsed="false">
      <c r="A42" s="4" t="s">
        <v>47</v>
      </c>
    </row>
    <row r="43" customFormat="false" ht="12.8" hidden="false" customHeight="false" outlineLevel="0" collapsed="false">
      <c r="A43" s="4" t="s">
        <v>48</v>
      </c>
    </row>
    <row r="44" customFormat="false" ht="12.8" hidden="false" customHeight="false" outlineLevel="0" collapsed="false">
      <c r="A44" s="4" t="s">
        <v>49</v>
      </c>
    </row>
    <row r="48" customFormat="false" ht="12.8" hidden="false" customHeight="false" outlineLevel="0" collapsed="false">
      <c r="A48" s="1" t="s">
        <v>50</v>
      </c>
      <c r="B48" s="1" t="n">
        <v>6.6</v>
      </c>
    </row>
    <row r="49" customFormat="false" ht="12.8" hidden="false" customHeight="false" outlineLevel="0" collapsed="false">
      <c r="A49" s="1" t="s">
        <v>51</v>
      </c>
      <c r="B49" s="7" t="n">
        <v>6</v>
      </c>
    </row>
    <row r="50" customFormat="false" ht="17.35" hidden="false" customHeight="false" outlineLevel="0" collapsed="false">
      <c r="A50" s="17" t="s">
        <v>52</v>
      </c>
    </row>
    <row r="51" customFormat="false" ht="17.35" hidden="false" customHeight="false" outlineLevel="0" collapsed="false">
      <c r="A51" s="17" t="s">
        <v>53</v>
      </c>
    </row>
    <row r="52" customFormat="false" ht="17.35" hidden="false" customHeight="false" outlineLevel="0" collapsed="false">
      <c r="A52" s="17" t="s">
        <v>54</v>
      </c>
    </row>
    <row r="55" customFormat="false" ht="12.8" hidden="false" customHeight="false" outlineLevel="0" collapsed="false">
      <c r="A55" s="1" t="s">
        <v>55</v>
      </c>
    </row>
    <row r="56" customFormat="false" ht="12.8" hidden="false" customHeight="false" outlineLevel="0" collapsed="false">
      <c r="A56" s="1" t="s">
        <v>56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2026-10-25T21:33:12Z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