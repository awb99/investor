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externalReferences>
    <externalReference r:id="rId4"/>
    <externalReference r:id="rId5"/>
    <externalReference r:id="rId6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<sst xmlns="http://schemas.openxmlformats.org/spreadsheetml/2006/main" count="46" uniqueCount="45">
  <si>
    <t xml:space="preserve">ARI investment case</t>
  </si>
  <si>
    <t xml:space="preserve">Common shares</t>
  </si>
  <si>
    <t xml:space="preserve">Current Market Price</t>
  </si>
  <si>
    <t xml:space="preserve">Initial distribution</t>
  </si>
  <si>
    <t xml:space="preserve">Ex-div pays the $4.10 initial liquidating distribution declared October 9, 2026.</t>
  </si>
  <si>
    <t xml:space="preserve">Market Price After distribution</t>
  </si>
  <si>
    <t xml:space="preserve">Balance sheet</t>
  </si>
  <si>
    <t xml:space="preserve">Jun 30 $</t>
  </si>
  <si>
    <t xml:space="preserve">Jul 15 $</t>
  </si>
  <si>
    <t xml:space="preserve">Ex-div $</t>
  </si>
  <si>
    <t xml:space="preserve">Jun 30 $/sh</t>
  </si>
  <si>
    <t xml:space="preserve">Jul 15 $/sh</t>
  </si>
  <si>
    <t xml:space="preserve">Ex-div $/sh</t>
  </si>
  <si>
    <t xml:space="preserve">Cash</t>
  </si>
  <si>
    <t xml:space="preserve">Real estate, net</t>
  </si>
  <si>
    <t xml:space="preserve">Other assets</t>
  </si>
  <si>
    <t xml:space="preserve">Assets</t>
  </si>
  <si>
    <t xml:space="preserve">Brooklyn loan</t>
  </si>
  <si>
    <t xml:space="preserve">Dividends payable</t>
  </si>
  <si>
    <t xml:space="preserve">Other liabilities</t>
  </si>
  <si>
    <t xml:space="preserve">Liabilities</t>
  </si>
  <si>
    <t xml:space="preserve">Equity</t>
  </si>
  <si>
    <t xml:space="preserve">Preferred claim</t>
  </si>
  <si>
    <t xml:space="preserve">Common Stock</t>
  </si>
  <si>
    <t xml:space="preserve">Property value, $ million</t>
  </si>
  <si>
    <t xml:space="preserve">BOOK</t>
  </si>
  <si>
    <t xml:space="preserve">LOW</t>
  </si>
  <si>
    <t xml:space="preserve">HIGH</t>
  </si>
  <si>
    <t xml:space="preserve">The Brooks</t>
  </si>
  <si>
    <t xml:space="preserve">The Brooks loan</t>
  </si>
  <si>
    <t xml:space="preserve">Courtland Grand Hotel</t>
  </si>
  <si>
    <t xml:space="preserve">Mayflower Hotel</t>
  </si>
  <si>
    <t xml:space="preserve">Other Assets</t>
  </si>
  <si>
    <t xml:space="preserve">other liabilities</t>
  </si>
  <si>
    <t xml:space="preserve">Total</t>
  </si>
  <si>
    <t xml:space="preserve">the brooks net</t>
  </si>
  <si>
    <t xml:space="preserve">NAV/share</t>
  </si>
  <si>
    <t xml:space="preserve">entry</t>
  </si>
  <si>
    <t xml:space="preserve">Upside/downside</t>
  </si>
  <si>
    <t xml:space="preserve">important considerations:</t>
  </si>
  <si>
    <t xml:space="preserve">1. stock opens in november at dividend discount</t>
  </si>
  <si>
    <t xml:space="preserve">2. loan requires 500 million equity value. So there will be only one dividend once the brooks is paid back.</t>
  </si>
  <si>
    <t xml:space="preserve">2. washington dc mayflower I estimate at 100% more. They carry it at purchase price minus depreciation. </t>
  </si>
  <si>
    <t xml:space="preserve">3. courtland grand I value at 50% less. Fire in oct 2025. they had insurance, fully live in 2027.</t>
  </si>
  <si>
    <t xml:space="preserve">4. the brooks is high quality; but the loan is over all construction cost.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</si>
</sst>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.00"/>
    <numFmt numFmtId="167" formatCode="\$#,##0"/>
    <numFmt numFmtId="168" formatCode="0"/>
    <numFmt numFmtId="169" formatCode="0.00"/>
    <numFmt numFmtId="170" formatCode="0%"/>
    <numFmt numFmtId="171" formatCode="0.0%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BF00"/>
        <bgColor rgb="FFFF8000"/>
      </patternFill>
    </fill>
    <fill>
      <patternFill patternType="solid">
        <fgColor rgb="FFFF8000"/>
        <bgColor rgb="FFFF6600"/>
      </patternFill>
    </fill>
    <fill>
      <patternFill patternType="solid">
        <fgColor rgb="FFDEE7E5"/>
        <bgColor rgb="FFCCFFFF"/>
      </patternFill>
    </fill>
    <fill>
      <patternFill patternType="solid">
        <fgColor rgb="FFAFD095"/>
        <bgColor rgb="FFB4C7DC"/>
      </patternFill>
    </fill>
    <fill>
      <patternFill patternType="solid">
        <fgColor rgb="FFFFDBB6"/>
        <bgColor rgb="FFDEE7E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AFD095"/>
      <rgbColor rgb="FFFF99CC"/>
      <rgbColor rgb="FFCC99FF"/>
      <rgbColor rgb="FFFFDBB6"/>
      <rgbColor rgb="FF3366FF"/>
      <rgbColor rgb="FF33CCCC"/>
      <rgbColor rgb="FF99CC00"/>
      <rgbColor rgb="FFFFBF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the%20brook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courtland%20grand%20hotel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mayflower%20hotel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47">
          <cell r="F47">
            <v>630.966</v>
          </cell>
        </row>
        <row r="50">
          <cell r="F50">
            <v>588.664548984615</v>
          </cell>
        </row>
        <row r="52">
          <cell r="F52">
            <v>535.149589986014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5">
          <cell r="D25">
            <v>58.2</v>
          </cell>
        </row>
        <row r="28">
          <cell r="D28">
            <v>31.7377319703754</v>
          </cell>
        </row>
        <row r="29">
          <cell r="D29">
            <v>28.7150908303396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7">
          <cell r="D27">
            <v>260.353989424678</v>
          </cell>
        </row>
        <row r="28">
          <cell r="D28">
            <v>235.558371384232</v>
          </cell>
        </row>
        <row r="29">
          <cell r="D29">
            <v>137.4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47" activeCellId="0" sqref="A4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14.19"/>
    <col collapsed="false" customWidth="true" hidden="false" outlineLevel="0" max="4" min="4" style="1" width="18"/>
    <col collapsed="false" customWidth="true" hidden="false" outlineLevel="0" max="5" min="5" style="1" width="11.39"/>
    <col collapsed="false" customWidth="true" hidden="false" outlineLevel="0" max="6" min="6" style="1" width="9.87"/>
    <col collapsed="false" customWidth="true" hidden="false" outlineLevel="0" max="7" min="7" style="1" width="10.57"/>
    <col collapsed="false" customWidth="true" hidden="false" outlineLevel="0" max="8" min="8" style="1" width="20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.8" hidden="false" customHeight="false" outlineLevel="0" collapsed="false">
      <c r="A2" s="3" t="s">
        <v>1</v>
      </c>
      <c r="B2" s="4" t="n">
        <v>128212093</v>
      </c>
    </row>
    <row r="3" customFormat="false" ht="12.8" hidden="false" customHeight="false" outlineLevel="0" collapsed="false">
      <c r="A3" s="3" t="s">
        <v>2</v>
      </c>
      <c r="B3" s="5" t="n">
        <v>6.5</v>
      </c>
    </row>
    <row r="4" customFormat="false" ht="12.8" hidden="false" customHeight="false" outlineLevel="0" collapsed="false">
      <c r="A4" s="3" t="s">
        <v>3</v>
      </c>
      <c r="B4" s="6" t="n">
        <v>4.1</v>
      </c>
      <c r="C4" s="3" t="s">
        <v>4</v>
      </c>
    </row>
    <row r="5" customFormat="false" ht="12.8" hidden="false" customHeight="false" outlineLevel="0" collapsed="false">
      <c r="A5" s="3" t="s">
        <v>5</v>
      </c>
      <c r="B5" s="7" t="n">
        <f aca="false">B3-B4</f>
        <v>2.4</v>
      </c>
    </row>
    <row r="8" customFormat="false" ht="12.8" hidden="false" customHeight="false" outlineLevel="0" collapsed="false">
      <c r="A8" s="8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</row>
    <row r="9" customFormat="false" ht="12.8" hidden="false" customHeight="false" outlineLevel="0" collapsed="false">
      <c r="A9" s="3" t="s">
        <v>13</v>
      </c>
      <c r="B9" s="10" t="n">
        <v>1239480000</v>
      </c>
      <c r="C9" s="10" t="n">
        <f aca="false">B9-B14-B18</f>
        <v>577742000</v>
      </c>
      <c r="D9" s="11" t="n">
        <f aca="false">C9-$B$4*$B$2</f>
        <v>52072418.7000001</v>
      </c>
      <c r="E9" s="6" t="n">
        <f aca="false">B9/$B$2</f>
        <v>9.66741881360598</v>
      </c>
      <c r="F9" s="6" t="n">
        <f aca="false">C9/$B$2</f>
        <v>4.50614280198982</v>
      </c>
      <c r="G9" s="12" t="n">
        <f aca="false">D9/$B$2</f>
        <v>0.406142801989825</v>
      </c>
    </row>
    <row r="10" customFormat="false" ht="12.8" hidden="false" customHeight="false" outlineLevel="0" collapsed="false">
      <c r="A10" s="3" t="s">
        <v>14</v>
      </c>
      <c r="B10" s="10" t="n">
        <v>856970000</v>
      </c>
      <c r="C10" s="10" t="n">
        <f aca="false">B10</f>
        <v>856970000</v>
      </c>
      <c r="D10" s="11" t="n">
        <f aca="false">B10</f>
        <v>856970000</v>
      </c>
      <c r="E10" s="6" t="n">
        <f aca="false">B10/$B$2</f>
        <v>6.68400288886946</v>
      </c>
      <c r="F10" s="6" t="n">
        <f aca="false">E10</f>
        <v>6.68400288886946</v>
      </c>
      <c r="G10" s="13" t="n">
        <f aca="false">E10</f>
        <v>6.68400288886946</v>
      </c>
    </row>
    <row r="11" customFormat="false" ht="12.8" hidden="false" customHeight="false" outlineLevel="0" collapsed="false">
      <c r="A11" s="3" t="s">
        <v>15</v>
      </c>
      <c r="B11" s="10" t="n">
        <v>39854000</v>
      </c>
      <c r="C11" s="10" t="n">
        <f aca="false">B11</f>
        <v>39854000</v>
      </c>
      <c r="D11" s="11" t="n">
        <f aca="false">B11</f>
        <v>39854000</v>
      </c>
      <c r="E11" s="6" t="n">
        <f aca="false">B11/$B$2</f>
        <v>0.310844313258345</v>
      </c>
      <c r="F11" s="6" t="n">
        <f aca="false">E11</f>
        <v>0.310844313258345</v>
      </c>
      <c r="G11" s="12" t="n">
        <f aca="false">E11</f>
        <v>0.310844313258345</v>
      </c>
    </row>
    <row r="12" customFormat="false" ht="12.8" hidden="false" customHeight="false" outlineLevel="0" collapsed="false">
      <c r="A12" s="14" t="s">
        <v>16</v>
      </c>
      <c r="B12" s="15" t="n">
        <f aca="false">B9+B10+B11</f>
        <v>2136304000</v>
      </c>
      <c r="C12" s="15" t="n">
        <f aca="false">C9+C10+C11</f>
        <v>1474566000</v>
      </c>
      <c r="D12" s="16" t="n">
        <f aca="false">D9+D10+D11</f>
        <v>948896418.7</v>
      </c>
      <c r="E12" s="17" t="n">
        <f aca="false">B12/$B$2</f>
        <v>16.6622660157338</v>
      </c>
      <c r="F12" s="17" t="n">
        <f aca="false">C12/$B$2</f>
        <v>11.5009900041176</v>
      </c>
      <c r="G12" s="13" t="n">
        <f aca="false">D12/$B$2</f>
        <v>7.40099000411763</v>
      </c>
    </row>
    <row r="13" customFormat="false" ht="12.8" hidden="false" customHeight="false" outlineLevel="0" collapsed="false">
      <c r="A13" s="3" t="s">
        <v>17</v>
      </c>
      <c r="B13" s="10" t="n">
        <v>371428000</v>
      </c>
      <c r="C13" s="10" t="n">
        <f aca="false">B13</f>
        <v>371428000</v>
      </c>
      <c r="D13" s="11" t="n">
        <f aca="false">B13</f>
        <v>371428000</v>
      </c>
      <c r="E13" s="6" t="n">
        <f aca="false">B13/$B$2</f>
        <v>2.89698102034728</v>
      </c>
      <c r="F13" s="6" t="n">
        <f aca="false">E13</f>
        <v>2.89698102034728</v>
      </c>
      <c r="G13" s="13" t="n">
        <f aca="false">E13</f>
        <v>2.89698102034728</v>
      </c>
    </row>
    <row r="14" customFormat="false" ht="12.8" hidden="false" customHeight="false" outlineLevel="0" collapsed="false">
      <c r="A14" s="3" t="s">
        <v>18</v>
      </c>
      <c r="B14" s="10" t="n">
        <v>492478000</v>
      </c>
      <c r="C14" s="10" t="n">
        <v>0</v>
      </c>
      <c r="D14" s="11" t="n">
        <v>0</v>
      </c>
      <c r="E14" s="6" t="n">
        <f aca="false">B14/$B$2</f>
        <v>3.84111972963424</v>
      </c>
      <c r="F14" s="6" t="n">
        <v>0</v>
      </c>
      <c r="G14" s="12" t="n">
        <v>0</v>
      </c>
    </row>
    <row r="15" customFormat="false" ht="12.8" hidden="false" customHeight="false" outlineLevel="0" collapsed="false">
      <c r="A15" s="3" t="s">
        <v>19</v>
      </c>
      <c r="B15" s="10" t="n">
        <v>17538000</v>
      </c>
      <c r="C15" s="10" t="n">
        <f aca="false">B15</f>
        <v>17538000</v>
      </c>
      <c r="D15" s="11" t="n">
        <f aca="false">B15</f>
        <v>17538000</v>
      </c>
      <c r="E15" s="6" t="n">
        <f aca="false">B15/$B$2</f>
        <v>0.13678896888455</v>
      </c>
      <c r="F15" s="6" t="n">
        <f aca="false">E15</f>
        <v>0.13678896888455</v>
      </c>
      <c r="G15" s="12" t="n">
        <f aca="false">E15</f>
        <v>0.13678896888455</v>
      </c>
    </row>
    <row r="16" customFormat="false" ht="12.8" hidden="false" customHeight="false" outlineLevel="0" collapsed="false">
      <c r="A16" s="14" t="s">
        <v>20</v>
      </c>
      <c r="B16" s="15" t="n">
        <f aca="false">B13+B14+B15</f>
        <v>881444000</v>
      </c>
      <c r="C16" s="15" t="n">
        <f aca="false">C13+C14+C15</f>
        <v>388966000</v>
      </c>
      <c r="D16" s="16" t="n">
        <f aca="false">D13+D14+D15</f>
        <v>388966000</v>
      </c>
      <c r="E16" s="17" t="n">
        <f aca="false">B16/$B$2</f>
        <v>6.87488971886607</v>
      </c>
      <c r="F16" s="17" t="n">
        <f aca="false">C16/$B$2</f>
        <v>3.03376998923183</v>
      </c>
      <c r="G16" s="12" t="n">
        <f aca="false">D16/$B$2</f>
        <v>3.03376998923183</v>
      </c>
    </row>
    <row r="17" customFormat="false" ht="12.8" hidden="false" customHeight="false" outlineLevel="0" collapsed="false">
      <c r="A17" s="3" t="s">
        <v>21</v>
      </c>
      <c r="B17" s="10" t="n">
        <v>1254860000</v>
      </c>
      <c r="C17" s="10" t="n">
        <f aca="false">B17-B18</f>
        <v>1085600000</v>
      </c>
      <c r="D17" s="11" t="n">
        <f aca="false">C17-$B$4*$B$2</f>
        <v>559930418.7</v>
      </c>
      <c r="E17" s="6" t="n">
        <f aca="false">B17/$B$2</f>
        <v>9.78737629686772</v>
      </c>
      <c r="F17" s="6" t="n">
        <f aca="false">C17/$B$2</f>
        <v>8.4672200148858</v>
      </c>
      <c r="G17" s="12" t="n">
        <f aca="false">D17/$B$2</f>
        <v>4.3672200148858</v>
      </c>
    </row>
    <row r="18" customFormat="false" ht="12.8" hidden="false" customHeight="false" outlineLevel="0" collapsed="false">
      <c r="A18" s="3" t="s">
        <v>22</v>
      </c>
      <c r="B18" s="10" t="n">
        <v>169260000</v>
      </c>
      <c r="C18" s="10" t="n">
        <v>0</v>
      </c>
      <c r="D18" s="11" t="n">
        <v>0</v>
      </c>
      <c r="E18" s="6" t="n">
        <f aca="false">B18/$B$2</f>
        <v>1.32015628198192</v>
      </c>
      <c r="F18" s="6" t="n">
        <v>0</v>
      </c>
      <c r="G18" s="12" t="n">
        <v>0</v>
      </c>
    </row>
    <row r="19" customFormat="false" ht="12.8" hidden="false" customHeight="false" outlineLevel="0" collapsed="false">
      <c r="A19" s="14" t="s">
        <v>23</v>
      </c>
      <c r="B19" s="15" t="n">
        <f aca="false">B17-B18</f>
        <v>1085600000</v>
      </c>
      <c r="C19" s="15" t="n">
        <f aca="false">C17-C18</f>
        <v>1085600000</v>
      </c>
      <c r="D19" s="16" t="n">
        <f aca="false">D17-D18</f>
        <v>559930418.7</v>
      </c>
      <c r="E19" s="18" t="n">
        <f aca="false">B19/$B$2</f>
        <v>8.4672200148858</v>
      </c>
      <c r="F19" s="18" t="n">
        <f aca="false">E19</f>
        <v>8.4672200148858</v>
      </c>
      <c r="G19" s="13" t="n">
        <f aca="false">D19/$B$2</f>
        <v>4.3672200148858</v>
      </c>
    </row>
    <row r="21" customFormat="false" ht="12.8" hidden="false" customHeight="false" outlineLevel="0" collapsed="false">
      <c r="A21" s="14" t="s">
        <v>24</v>
      </c>
      <c r="B21" s="14"/>
      <c r="C21" s="14"/>
      <c r="D21" s="14"/>
    </row>
    <row r="22" customFormat="false" ht="12.8" hidden="false" customHeight="false" outlineLevel="0" collapsed="false">
      <c r="A22" s="8"/>
      <c r="B22" s="9" t="s">
        <v>25</v>
      </c>
      <c r="C22" s="9" t="s">
        <v>26</v>
      </c>
      <c r="D22" s="9" t="s">
        <v>27</v>
      </c>
    </row>
    <row r="23" customFormat="false" ht="12.8" hidden="false" customHeight="false" outlineLevel="0" collapsed="false">
      <c r="A23" s="3" t="s">
        <v>28</v>
      </c>
      <c r="B23" s="19" t="n">
        <f aca="false">[1]Sheet1!F47</f>
        <v>630.966</v>
      </c>
      <c r="C23" s="19" t="n">
        <f aca="false">[1]Sheet1!F52</f>
        <v>535.149589986014</v>
      </c>
      <c r="D23" s="19" t="n">
        <f aca="false">[1]Sheet1!F50</f>
        <v>588.664548984615</v>
      </c>
    </row>
    <row r="24" customFormat="false" ht="12.8" hidden="false" customHeight="false" outlineLevel="0" collapsed="false">
      <c r="A24" s="3" t="s">
        <v>29</v>
      </c>
      <c r="B24" s="20" t="n">
        <f aca="false">-B13/1000000</f>
        <v>-371.428</v>
      </c>
      <c r="C24" s="20" t="n">
        <f aca="false">B24</f>
        <v>-371.428</v>
      </c>
      <c r="D24" s="20" t="n">
        <f aca="false">B24</f>
        <v>-371.428</v>
      </c>
    </row>
    <row r="25" customFormat="false" ht="12.8" hidden="false" customHeight="false" outlineLevel="0" collapsed="false">
      <c r="A25" s="3" t="s">
        <v>30</v>
      </c>
      <c r="B25" s="20" t="n">
        <f aca="false">[2]Sheet1!D25</f>
        <v>58.2</v>
      </c>
      <c r="C25" s="20" t="n">
        <f aca="false">[2]Sheet1!D29</f>
        <v>28.7150908303396</v>
      </c>
      <c r="D25" s="20" t="n">
        <f aca="false">[2]Sheet1!D28</f>
        <v>31.7377319703754</v>
      </c>
    </row>
    <row r="26" customFormat="false" ht="12.8" hidden="false" customHeight="false" outlineLevel="0" collapsed="false">
      <c r="A26" s="3" t="s">
        <v>31</v>
      </c>
      <c r="B26" s="19" t="n">
        <f aca="false">[3]Sheet1!D29</f>
        <v>137.4</v>
      </c>
      <c r="C26" s="19" t="n">
        <f aca="false">[3]Sheet1!D28</f>
        <v>235.558371384232</v>
      </c>
      <c r="D26" s="19" t="n">
        <f aca="false">[3]Sheet1!D27</f>
        <v>260.353989424678</v>
      </c>
    </row>
    <row r="27" customFormat="false" ht="12.8" hidden="false" customHeight="false" outlineLevel="0" collapsed="false">
      <c r="A27" s="1" t="s">
        <v>13</v>
      </c>
      <c r="B27" s="21" t="n">
        <f aca="false">$D$9/1000000</f>
        <v>52.0724187000001</v>
      </c>
      <c r="C27" s="21" t="n">
        <f aca="false">$D$9/1000000</f>
        <v>52.0724187000001</v>
      </c>
      <c r="D27" s="21" t="n">
        <f aca="false">$D$9/1000000</f>
        <v>52.0724187000001</v>
      </c>
    </row>
    <row r="28" customFormat="false" ht="12.8" hidden="false" customHeight="false" outlineLevel="0" collapsed="false">
      <c r="A28" s="1" t="s">
        <v>32</v>
      </c>
      <c r="B28" s="21" t="n">
        <f aca="false">$D$11/1000000</f>
        <v>39.854</v>
      </c>
      <c r="C28" s="21" t="n">
        <f aca="false">$D$11/1000000</f>
        <v>39.854</v>
      </c>
      <c r="D28" s="21" t="n">
        <f aca="false">$D$11/1000000</f>
        <v>39.854</v>
      </c>
    </row>
    <row r="29" s="3" customFormat="true" ht="15.65" hidden="false" customHeight="true" outlineLevel="0" collapsed="false">
      <c r="A29" s="3" t="s">
        <v>33</v>
      </c>
      <c r="B29" s="21" t="n">
        <f aca="false">-$D$15/1000000</f>
        <v>-17.538</v>
      </c>
      <c r="C29" s="21" t="n">
        <f aca="false">-$D$15/1000000</f>
        <v>-17.538</v>
      </c>
      <c r="D29" s="21" t="n">
        <f aca="false">-$D$15/1000000</f>
        <v>-17.538</v>
      </c>
    </row>
    <row r="30" customFormat="false" ht="12.8" hidden="false" customHeight="false" outlineLevel="0" collapsed="false">
      <c r="A30" s="14" t="s">
        <v>34</v>
      </c>
      <c r="B30" s="22" t="n">
        <f aca="false">SUM(B23:B29)</f>
        <v>529.5264187</v>
      </c>
      <c r="C30" s="22" t="n">
        <f aca="false">SUM(C23:C29)</f>
        <v>502.383470900586</v>
      </c>
      <c r="D30" s="22" t="n">
        <f aca="false">SUM(D23:D29)</f>
        <v>583.716689079668</v>
      </c>
    </row>
    <row r="32" customFormat="false" ht="12.8" hidden="false" customHeight="false" outlineLevel="0" collapsed="false">
      <c r="A32" s="23" t="s">
        <v>35</v>
      </c>
      <c r="B32" s="24" t="n">
        <f aca="false">B23+B24</f>
        <v>259.538</v>
      </c>
      <c r="C32" s="24" t="n">
        <f aca="false">C23+C24</f>
        <v>163.721589986014</v>
      </c>
      <c r="D32" s="24" t="n">
        <f aca="false">D23+D24</f>
        <v>217.236548984615</v>
      </c>
    </row>
    <row r="36" customFormat="false" ht="12.8" hidden="false" customHeight="false" outlineLevel="0" collapsed="false">
      <c r="A36" s="14" t="s">
        <v>36</v>
      </c>
      <c r="B36" s="25" t="n">
        <f aca="false">B30/$B$2*1000000</f>
        <v>4.13008169751975</v>
      </c>
      <c r="C36" s="25" t="n">
        <f aca="false">C30/$B$2*1000000</f>
        <v>3.9183782055612</v>
      </c>
      <c r="D36" s="25" t="n">
        <f aca="false">D30/$B$2*1000000</f>
        <v>4.55274284524525</v>
      </c>
    </row>
    <row r="37" customFormat="false" ht="12.8" hidden="false" customHeight="false" outlineLevel="0" collapsed="false">
      <c r="A37" s="1" t="s">
        <v>37</v>
      </c>
      <c r="B37" s="26" t="n">
        <v>2.4</v>
      </c>
    </row>
    <row r="38" customFormat="false" ht="12.8" hidden="false" customHeight="false" outlineLevel="0" collapsed="false">
      <c r="A38" s="1" t="s">
        <v>38</v>
      </c>
      <c r="B38" s="27" t="n">
        <f aca="false">B36/$B$37-1</f>
        <v>0.720867373966563</v>
      </c>
      <c r="C38" s="27" t="n">
        <f aca="false">C36/$B$37-1</f>
        <v>0.6326575856505</v>
      </c>
      <c r="D38" s="27" t="n">
        <f aca="false">D36/$B$37-1</f>
        <v>0.896976185518854</v>
      </c>
    </row>
    <row r="40" customFormat="false" ht="12.8" hidden="false" customHeight="false" outlineLevel="0" collapsed="false">
      <c r="A40" s="3"/>
      <c r="B40" s="6"/>
    </row>
    <row r="41" customFormat="false" ht="12.8" hidden="false" customHeight="false" outlineLevel="0" collapsed="false">
      <c r="A41" s="23" t="s">
        <v>39</v>
      </c>
    </row>
    <row r="42" customFormat="false" ht="12.8" hidden="false" customHeight="false" outlineLevel="0" collapsed="false">
      <c r="A42" s="3" t="s">
        <v>40</v>
      </c>
      <c r="B42" s="3"/>
      <c r="C42" s="3"/>
      <c r="D42" s="3"/>
      <c r="E42" s="3"/>
      <c r="F42" s="3"/>
      <c r="G42" s="3"/>
      <c r="H42" s="3"/>
    </row>
    <row r="43" customFormat="false" ht="12.8" hidden="false" customHeight="false" outlineLevel="0" collapsed="false">
      <c r="A43" s="1" t="s">
        <v>41</v>
      </c>
      <c r="B43" s="28"/>
      <c r="C43" s="6"/>
      <c r="D43" s="6"/>
      <c r="E43" s="29"/>
      <c r="F43" s="6"/>
      <c r="G43" s="6"/>
      <c r="H43" s="29"/>
    </row>
    <row r="44" customFormat="false" ht="12.8" hidden="false" customHeight="false" outlineLevel="0" collapsed="false">
      <c r="A44" s="3" t="s">
        <v>42</v>
      </c>
      <c r="B44" s="28"/>
      <c r="C44" s="6"/>
      <c r="D44" s="6"/>
      <c r="E44" s="29"/>
      <c r="F44" s="6"/>
      <c r="G44" s="6"/>
      <c r="H44" s="29"/>
    </row>
    <row r="45" customFormat="false" ht="12.8" hidden="false" customHeight="false" outlineLevel="0" collapsed="false">
      <c r="A45" s="3" t="s">
        <v>43</v>
      </c>
      <c r="B45" s="28"/>
      <c r="C45" s="6"/>
      <c r="D45" s="6"/>
      <c r="E45" s="29"/>
      <c r="F45" s="6"/>
      <c r="G45" s="6"/>
      <c r="H45" s="29"/>
    </row>
    <row r="46" customFormat="false" ht="12.8" hidden="false" customHeight="false" outlineLevel="0" collapsed="false">
      <c r="A46" s="1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2026-10-25T21:35:53Z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