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2026 transactions" sheetId="2" state="visible" r:id="rId4"/>
    <sheet name="Plot" sheetId="3" state="visible" r:id="rId5"/>
  </sheets>
  <definedNames>
    <definedName function="false" hidden="true" localSheetId="1" name="_xlnm._FilterDatabase" vbProcedure="false">'2026 transactions'!$A$1:$F$426</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<sst xmlns="http://schemas.openxmlformats.org/spreadsheetml/2006/main" count="443" uniqueCount="421">
  <si>
    <t xml:space="preserve">data source:</t>
  </si>
  <si>
    <t xml:space="preserve">https://hercules.properties/research/nyc-biggest-sales/2026-01</t>
  </si>
  <si>
    <t xml:space="preserve">125 3rd Street, Brooklyn, NY 11231 is one $105,000,000 sale in the January 2026 ranking. The closing date on the condo units is December 30, 2025. The deed was recorded on January 13, 2026, which is why it appears in the January list.</t>
  </si>
  <si>
    <t xml:space="preserve">The building is a 14-story condominium (class RM), finished in 2024, with 3 residential units and 4 units in total.</t>
  </si>
  <si>
    <t xml:space="preserve">Date of transaction</t>
  </si>
  <si>
    <t xml:space="preserve">Value of transaction</t>
  </si>
  <si>
    <t xml:space="preserve">Property</t>
  </si>
  <si>
    <t xml:space="preserve">Square foot of building</t>
  </si>
  <si>
    <t xml:space="preserve">Year built</t>
  </si>
  <si>
    <t xml:space="preserve">USD/sqft</t>
  </si>
  <si>
    <t xml:space="preserve">119-09 26 AVENUE, Queens, NY 11354</t>
  </si>
  <si>
    <t xml:space="preserve">48-02 30 PLACE, Queens, NY 11101</t>
  </si>
  <si>
    <t xml:space="preserve">1710 BRONXDALE AVENUE, Bronx, NY 10462</t>
  </si>
  <si>
    <t xml:space="preserve">183 VARICK STREET, Manhattan, NY 10014</t>
  </si>
  <si>
    <t xml:space="preserve">410 WEST 13 STREET, Manhattan, NY 10014</t>
  </si>
  <si>
    <t xml:space="preserve">50 WEST 66TH STREET, Manhattan, NY 10023</t>
  </si>
  <si>
    <t xml:space="preserve">4275 BOSTON ROAD, Bronx, NY 10466</t>
  </si>
  <si>
    <t xml:space="preserve">63 CROSBY STREET, Manhattan, NY 10012</t>
  </si>
  <si>
    <t xml:space="preserve">163-25 ARCHER AVENUE, Queens, NY 11433</t>
  </si>
  <si>
    <t xml:space="preserve">40-22 COLLEGE POINT BLVD, Queens, NY 11354</t>
  </si>
  <si>
    <t xml:space="preserve">3 EAST 54 STREET, Manhattan, NY 10022</t>
  </si>
  <si>
    <t xml:space="preserve">125 3RD STREET, Brooklyn, NY 11231</t>
  </si>
  <si>
    <t xml:space="preserve">1741 PILGRIM AVENUE, Bronx, NY 10461</t>
  </si>
  <si>
    <t xml:space="preserve">1770 MAHAN AVENUE, Bronx, NY 10461</t>
  </si>
  <si>
    <t xml:space="preserve">75 NASSAU STREET, Manhattan, NY 10038</t>
  </si>
  <si>
    <t xml:space="preserve">541 WEST 21 STREET, Manhattan, NY 10011</t>
  </si>
  <si>
    <t xml:space="preserve">1 COLUMBUS CIRCLE, Manhattan, NY 10019</t>
  </si>
  <si>
    <t xml:space="preserve">726 40 STREET, Brooklyn, NY 11232</t>
  </si>
  <si>
    <t xml:space="preserve">1 PARK ROW, Manhattan, NY 10038</t>
  </si>
  <si>
    <t xml:space="preserve">31-69 COLLEGE POINT BOULEVARD, Queens, NY 11354</t>
  </si>
  <si>
    <t xml:space="preserve">1261 ZEREGA AVENUE, Bronx, NY 10462</t>
  </si>
  <si>
    <t xml:space="preserve">360 EAST GUN HILL ROAD, Bronx, NY 10467</t>
  </si>
  <si>
    <t xml:space="preserve">59 WEST 46 STREET, Manhattan, NY 10036</t>
  </si>
  <si>
    <t xml:space="preserve">90 WOOSTER STREET, Manhattan, NY 10012</t>
  </si>
  <si>
    <t xml:space="preserve">CORTELYOU ROAD, Brooklyn, NY 11218</t>
  </si>
  <si>
    <t xml:space="preserve">4663 3 AVENUE, Bronx, NY 10458</t>
  </si>
  <si>
    <t xml:space="preserve">72 CATON PLACE, Brooklyn, NY 11218</t>
  </si>
  <si>
    <t xml:space="preserve">31-08 NORTHERN BLVD, Queens, NY 11101</t>
  </si>
  <si>
    <t xml:space="preserve">34-09 COLLEGE POINT BLVD, Queens, NY 11354</t>
  </si>
  <si>
    <t xml:space="preserve">2926 FREDRICK DOUGLASS BL, Manhattan, NY 10039</t>
  </si>
  <si>
    <t xml:space="preserve">87-16 121 STREET, Queens, NY 11418</t>
  </si>
  <si>
    <t xml:space="preserve">1 REMSEN AVENUE, Brooklyn, NY 11212</t>
  </si>
  <si>
    <t xml:space="preserve">62-05 30TH AVENUE, Queens, NY 11377</t>
  </si>
  <si>
    <t xml:space="preserve">154 17 STREET, Brooklyn, NY 11215</t>
  </si>
  <si>
    <t xml:space="preserve">1690 EAST NEW YORK AVENUE, Brooklyn, NY 11212</t>
  </si>
  <si>
    <t xml:space="preserve">507 OSBORN STREET, Brooklyn, NY 11212</t>
  </si>
  <si>
    <t xml:space="preserve">651 UTICA AVENUE, Brooklyn, NY 11203</t>
  </si>
  <si>
    <t xml:space="preserve">101 GREENWICH STREET, Manhattan, NY 10006</t>
  </si>
  <si>
    <t xml:space="preserve">250 EAST HOUSTON STREET, Manhattan, NY 10002</t>
  </si>
  <si>
    <t xml:space="preserve">EAST 134TH STREET, Bronx, NY 10454</t>
  </si>
  <si>
    <t xml:space="preserve">714 LADD ROAD, Bronx, NY 10471</t>
  </si>
  <si>
    <t xml:space="preserve">53 WEST 53RD STREET, Manhattan, NY 10019</t>
  </si>
  <si>
    <t xml:space="preserve">639 GRAND STREET, Brooklyn, NY 11211</t>
  </si>
  <si>
    <t xml:space="preserve">181-08 UNION TURNPIKE, Queens, NY 11432</t>
  </si>
  <si>
    <t xml:space="preserve">254 WEST 35 STREET, Manhattan, NY 10001</t>
  </si>
  <si>
    <t xml:space="preserve">1218 BROADWAY, Manhattan, NY 10001</t>
  </si>
  <si>
    <t xml:space="preserve">444 CARROLL STREET, Brooklyn, NY 11215</t>
  </si>
  <si>
    <t xml:space="preserve">40 RECTOR STREET, Manhattan, NY 10006</t>
  </si>
  <si>
    <t xml:space="preserve">220 CENTRAL PARK SOUTH, Manhattan, NY 10019</t>
  </si>
  <si>
    <t xml:space="preserve">15 CENTRAL PARK WEST, Manhattan, NY 10023</t>
  </si>
  <si>
    <t xml:space="preserve">335 CARROLL STREET, Brooklyn, NY 11231</t>
  </si>
  <si>
    <t xml:space="preserve">56 MESEROLE STREET, Brooklyn, NY 11206</t>
  </si>
  <si>
    <t xml:space="preserve">11-36 45TH ROAD, Queens, NY 11101</t>
  </si>
  <si>
    <t xml:space="preserve">1190 COMMERCE AVENUE, Bronx, NY 10462</t>
  </si>
  <si>
    <t xml:space="preserve">140 WEST 238 STREET, Bronx, NY 10463</t>
  </si>
  <si>
    <t xml:space="preserve">70 VESTRY STREET, Manhattan, NY 10013</t>
  </si>
  <si>
    <t xml:space="preserve">68-64 YELLOWSTONE BLVD, Queens, NY 11375</t>
  </si>
  <si>
    <t xml:space="preserve">9 CROSBY STREET, Manhattan, NY 10013</t>
  </si>
  <si>
    <t xml:space="preserve">432 PARK AVENUE, Manhattan, NY 10022</t>
  </si>
  <si>
    <t xml:space="preserve">34 EAST 63 STREET, Manhattan, NY 10065</t>
  </si>
  <si>
    <t xml:space="preserve">35-63 90 STREET, Queens, NY 11372</t>
  </si>
  <si>
    <t xml:space="preserve">704 EAST 135 STREET, Bronx, NY 10454</t>
  </si>
  <si>
    <t xml:space="preserve">50 CENTRAL PARK SOUTH, Manhattan, NY 10019</t>
  </si>
  <si>
    <t xml:space="preserve">340 HENRY STREET, Brooklyn, NY 11201</t>
  </si>
  <si>
    <t xml:space="preserve">202 SOUTH 8 STREET, Brooklyn, NY 11211</t>
  </si>
  <si>
    <t xml:space="preserve">304 PEARL STREET, Manhattan, NY 10038</t>
  </si>
  <si>
    <t xml:space="preserve">WHITESTONE EXPRESSWAY, Queens, NY 11357</t>
  </si>
  <si>
    <t xml:space="preserve">35-43 37 STREET, Queens, NY 11101</t>
  </si>
  <si>
    <t xml:space="preserve">6411 FT HAMILTON PARKWAY, Brooklyn, NY 11219</t>
  </si>
  <si>
    <t xml:space="preserve">1233 GRANT AVENUE, Bronx, NY 10456</t>
  </si>
  <si>
    <t xml:space="preserve">118 TENTH AVENUE, Manhattan, NY 10011</t>
  </si>
  <si>
    <t xml:space="preserve">175 CANAL STREET WEST, Bronx, NY 10451</t>
  </si>
  <si>
    <t xml:space="preserve">4804 31 PLACE, Queens, NY 11101</t>
  </si>
  <si>
    <t xml:space="preserve">137-81 NORTHERN BOULEVARD, Queens, NY 11354</t>
  </si>
  <si>
    <t xml:space="preserve">71-15 51 AVENUE, Queens, NY 11377</t>
  </si>
  <si>
    <t xml:space="preserve">8 EAST 62 STREET, Manhattan, NY 10065</t>
  </si>
  <si>
    <t xml:space="preserve">1384 RIVERSIDE DRIVE, Manhattan, NY 10033</t>
  </si>
  <si>
    <t xml:space="preserve">35 ORANGE STREET, Brooklyn, NY 11201</t>
  </si>
  <si>
    <t xml:space="preserve">170 CLINTON STREET, Brooklyn, NY 11201</t>
  </si>
  <si>
    <t xml:space="preserve">1187 ANDERSON AVENUE, Bronx, NY 10452</t>
  </si>
  <si>
    <t xml:space="preserve">1210 WOODYCREST AVENUE, Bronx, NY 10452</t>
  </si>
  <si>
    <t xml:space="preserve">1220 SHAKESPEARE AVENUE, Bronx, NY 10452</t>
  </si>
  <si>
    <t xml:space="preserve">1230 WOODYCREST AVENUE, Bronx, NY 10452</t>
  </si>
  <si>
    <t xml:space="preserve">400 EAST 84TH STREET, Manhattan, NY 10028</t>
  </si>
  <si>
    <t xml:space="preserve">HUTCHINSON RVR PKWY, Bronx, NY 10465</t>
  </si>
  <si>
    <t xml:space="preserve">10-38 45 ROAD, Queens, NY 11101</t>
  </si>
  <si>
    <t xml:space="preserve">839 PRESIDENT STREET, Brooklyn, NY 11215</t>
  </si>
  <si>
    <t xml:space="preserve">690 MADISON AVENUE, Manhattan, NY 10065</t>
  </si>
  <si>
    <t xml:space="preserve">261 WALTON AVENUE, Bronx, NY 10451</t>
  </si>
  <si>
    <t xml:space="preserve">38-78 11TH STREET, Queens, NY 11101</t>
  </si>
  <si>
    <t xml:space="preserve">1025 ATLANTIC AVENUE, Brooklyn, NY 11238</t>
  </si>
  <si>
    <t xml:space="preserve">1990 ELLIS AVENUE, Bronx, NY 10472</t>
  </si>
  <si>
    <t xml:space="preserve">1860 MORRIS AVENUE, Bronx, NY 10453</t>
  </si>
  <si>
    <t xml:space="preserve">33-23 UNION STREET, Queens, NY 11354</t>
  </si>
  <si>
    <t xml:space="preserve">350 HICKS STREET, Brooklyn, NY 11201</t>
  </si>
  <si>
    <t xml:space="preserve">42-02 NORTHERN BOULEVARD, Queens, NY 11101</t>
  </si>
  <si>
    <t xml:space="preserve">39 WEST 27 STREET, Manhattan, NY 10001</t>
  </si>
  <si>
    <t xml:space="preserve">5901 BAY PARKWAY, Brooklyn, NY 11204</t>
  </si>
  <si>
    <t xml:space="preserve">1415 PARK LANE, Bronx, NY 10803</t>
  </si>
  <si>
    <t xml:space="preserve">9-02 38 AVENUE, Queens, NY 11101</t>
  </si>
  <si>
    <t xml:space="preserve">2 YORK STREET, Manhattan, NY 10013</t>
  </si>
  <si>
    <t xml:space="preserve">307 HICKS STREET, Brooklyn, NY 11201</t>
  </si>
  <si>
    <t xml:space="preserve">2440 ESPLANADE, Bronx, NY 10469</t>
  </si>
  <si>
    <t xml:space="preserve">103 NORTH 4 STREET, Brooklyn, NY 11249</t>
  </si>
  <si>
    <t xml:space="preserve">30 FRONT STREET, Brooklyn, NY 11201</t>
  </si>
  <si>
    <t xml:space="preserve">21-02 49 AVENUE, Queens, NY 11101</t>
  </si>
  <si>
    <t xml:space="preserve">509 WEST 38 STREET, Manhattan, NY 10018</t>
  </si>
  <si>
    <t xml:space="preserve">43-10 21 STREET, Queens, NY 11101</t>
  </si>
  <si>
    <t xml:space="preserve">713 MADISON AVENUE, Manhattan, NY 10065</t>
  </si>
  <si>
    <t xml:space="preserve">35 EAST 63 STREET, Manhattan, NY 10065</t>
  </si>
  <si>
    <t xml:space="preserve">37 9 STREET, Brooklyn, NY 11215</t>
  </si>
  <si>
    <t xml:space="preserve">83-01 ROOSEVELT AVENUE, Queens, NY 11372</t>
  </si>
  <si>
    <t xml:space="preserve">42-81 HUNTER STREET, Queens, NY 11101</t>
  </si>
  <si>
    <t xml:space="preserve">43 WHITE STREET, Manhattan, NY 10013</t>
  </si>
  <si>
    <t xml:space="preserve">1230 JEROME AVENUE, Bronx, NY 10452</t>
  </si>
  <si>
    <t xml:space="preserve">4915 10 AVENUE, Brooklyn, NY 11219</t>
  </si>
  <si>
    <t xml:space="preserve">170 BUFFALO AVENUE, Brooklyn, NY 11213</t>
  </si>
  <si>
    <t xml:space="preserve">40 WEST 25 STREET, Manhattan, NY 10010</t>
  </si>
  <si>
    <t xml:space="preserve">210 SHERMAN AVENUE, Manhattan, NY 10034</t>
  </si>
  <si>
    <t xml:space="preserve">88 UNIVERSITY PLACE, Manhattan, NY 10003</t>
  </si>
  <si>
    <t xml:space="preserve">1010 UNDERHILL AVENUE, Bronx, NY 10472</t>
  </si>
  <si>
    <t xml:space="preserve">13-11 VIRGINIA STREET, Queens, NY 11691</t>
  </si>
  <si>
    <t xml:space="preserve">18-45 STEINWAY STREET, Queens, NY 11105</t>
  </si>
  <si>
    <t xml:space="preserve">1540 TOMLINSON AVENUE, Bronx, NY 10461</t>
  </si>
  <si>
    <t xml:space="preserve">2291 CAMBRELENG AVENUE, Bronx, NY 10458</t>
  </si>
  <si>
    <t xml:space="preserve">1161 BROADWAY, Manhattan, NY 10001</t>
  </si>
  <si>
    <t xml:space="preserve">164 CANAL STREET, Manhattan, NY 10013</t>
  </si>
  <si>
    <t xml:space="preserve">1151 EAST 7 STREET, Brooklyn, NY 11230</t>
  </si>
  <si>
    <t xml:space="preserve">2505 GRAND AVENUE, Bronx, NY 10468</t>
  </si>
  <si>
    <t xml:space="preserve">1160 TELLER AVENUE, Bronx, NY 10456</t>
  </si>
  <si>
    <t xml:space="preserve">15 EAST 63 STREET, Manhattan, NY 10065</t>
  </si>
  <si>
    <t xml:space="preserve">118 WEST 13TH STREET, Manhattan, NY 10011</t>
  </si>
  <si>
    <t xml:space="preserve">127 KENT AVENUE, Brooklyn, NY 11249</t>
  </si>
  <si>
    <t xml:space="preserve">650 5 AVENUE, Manhattan, NY 10019</t>
  </si>
  <si>
    <t xml:space="preserve">597 5 AVENUE, Manhattan, NY 10017</t>
  </si>
  <si>
    <t xml:space="preserve">25 ELM PLACE, Brooklyn, NY 11201</t>
  </si>
  <si>
    <t xml:space="preserve">496 FULTON STREET, Brooklyn, NY 11201</t>
  </si>
  <si>
    <t xml:space="preserve">525 UNION AVENUE, Brooklyn, NY 11211</t>
  </si>
  <si>
    <t xml:space="preserve">620 AVENUE OF THE AMERICAS, Manhattan, NY 10011</t>
  </si>
  <si>
    <t xml:space="preserve">34 BERRY STREET, Brooklyn, NY 11249</t>
  </si>
  <si>
    <t xml:space="preserve">125 WEST 11 STREET, Manhattan, NY 10011</t>
  </si>
  <si>
    <t xml:space="preserve">28-02 41 AVENUE, Queens, NY 11101</t>
  </si>
  <si>
    <t xml:space="preserve">76-09 34 AVENUE, Queens, NY 11372</t>
  </si>
  <si>
    <t xml:space="preserve">25-10 30 ROAD, Queens, NY 11102</t>
  </si>
  <si>
    <t xml:space="preserve">85-50 85 DRIVE, Queens, NY 11421</t>
  </si>
  <si>
    <t xml:space="preserve">5000 ISELIN AVENUE, Bronx, NY 10471</t>
  </si>
  <si>
    <t xml:space="preserve">300 EAST 42ND STREET, Manhattan, NY 10017</t>
  </si>
  <si>
    <t xml:space="preserve">130 ST FELIX STREET, Brooklyn, NY 11217</t>
  </si>
  <si>
    <t xml:space="preserve">85-05 35 AVENUE, Queens, NY 11372</t>
  </si>
  <si>
    <t xml:space="preserve">63-70 AUSTIN STREET, Queens, NY 11374</t>
  </si>
  <si>
    <t xml:space="preserve">1050 WHEELER AVENUE, Bronx, NY 10472</t>
  </si>
  <si>
    <t xml:space="preserve">74 8 AVENUE, Manhattan, NY 10011</t>
  </si>
  <si>
    <t xml:space="preserve">3305 COUNTRY CLUB ROAD, Bronx, NY 10465</t>
  </si>
  <si>
    <t xml:space="preserve">3410 KINGSBRIDGE AVENUE, Bronx, NY 10463</t>
  </si>
  <si>
    <t xml:space="preserve">87-50 KINGSTON PLACE, Queens, NY 11432</t>
  </si>
  <si>
    <t xml:space="preserve">56 LEONARD STREET, Manhattan, NY 10013</t>
  </si>
  <si>
    <t xml:space="preserve">2502 CAMBRELENG AVENUE, Bronx, NY 10458</t>
  </si>
  <si>
    <t xml:space="preserve">2500 CAMBRELENG AVENUE, Bronx, NY 10458</t>
  </si>
  <si>
    <t xml:space="preserve">CAMBRELENG AVENUE, Bronx, NY 10458</t>
  </si>
  <si>
    <t xml:space="preserve">206 KENT AVENUE, Brooklyn, NY 11249</t>
  </si>
  <si>
    <t xml:space="preserve">222 LENOX ROAD, Brooklyn, NY 11226</t>
  </si>
  <si>
    <t xml:space="preserve">45-35 44 STREET, Queens, NY 11104</t>
  </si>
  <si>
    <t xml:space="preserve">575 5 AVENUE, Manhattan, NY 10017</t>
  </si>
  <si>
    <t xml:space="preserve">20 EAST 76TH STREET, Manhattan, NY 10021</t>
  </si>
  <si>
    <t xml:space="preserve">83 THOMPSON ST, Manhattan, NY 10012</t>
  </si>
  <si>
    <t xml:space="preserve">80 MCCLELLAN STREET, Bronx, NY 10452</t>
  </si>
  <si>
    <t xml:space="preserve">3260 HENRY HUDSON PKWY E, Bronx, NY 10463</t>
  </si>
  <si>
    <t xml:space="preserve">118 WEST 23 STREET, Manhattan, NY 10011</t>
  </si>
  <si>
    <t xml:space="preserve">1151 BROADWAY, Manhattan, NY 10001</t>
  </si>
  <si>
    <t xml:space="preserve">801 GREENWICH STREET, Manhattan, NY 10014</t>
  </si>
  <si>
    <t xml:space="preserve">25 WEST 45 STREET, Manhattan, NY 10036</t>
  </si>
  <si>
    <t xml:space="preserve">962 PACIFIC STREET, Brooklyn, NY 11238</t>
  </si>
  <si>
    <t xml:space="preserve">DEAN STREET, Brooklyn, NY 11238</t>
  </si>
  <si>
    <t xml:space="preserve">1285 EDWARD L GRANT HWY, Bronx, NY 10452</t>
  </si>
  <si>
    <t xml:space="preserve">213-11 43 AVENUE, Queens, NY 11361</t>
  </si>
  <si>
    <t xml:space="preserve">39 HALL STREET, Brooklyn, NY 11205</t>
  </si>
  <si>
    <t xml:space="preserve">16 5 AVENUE, Manhattan, NY 10011</t>
  </si>
  <si>
    <t xml:space="preserve">120 COURT STREET, Brooklyn, NY 11201</t>
  </si>
  <si>
    <t xml:space="preserve">9 EAST 86 STREET, Manhattan, NY 10028</t>
  </si>
  <si>
    <t xml:space="preserve">72-02 51 AVENUE, Queens, NY 11377</t>
  </si>
  <si>
    <t xml:space="preserve">2316 SURF AVENUE, Brooklyn, NY 11224</t>
  </si>
  <si>
    <t xml:space="preserve">39-39 QUEENS BOULEVARD, Queens, NY 11104</t>
  </si>
  <si>
    <t xml:space="preserve">1181 SHERIDAN AVENUE, Bronx, NY 10456</t>
  </si>
  <si>
    <t xml:space="preserve">261 CANAL STREET, Manhattan, NY 10013</t>
  </si>
  <si>
    <t xml:space="preserve">19-40 FLUSHING AVENUE, Queens, NY 11385</t>
  </si>
  <si>
    <t xml:space="preserve">407 PARK AVENUE, Manhattan, NY 10022</t>
  </si>
  <si>
    <t xml:space="preserve">405 PARK AVENUE, Manhattan, NY 10022</t>
  </si>
  <si>
    <t xml:space="preserve">297 HICKS STREET, Brooklyn, NY 11201</t>
  </si>
  <si>
    <t xml:space="preserve">13 WEST 56 STREET, Manhattan, NY 10019</t>
  </si>
  <si>
    <t xml:space="preserve">236 BOWERY, Manhattan, NY 10012</t>
  </si>
  <si>
    <t xml:space="preserve">996 OCEAN PARKWAY, Brooklyn, NY 11230</t>
  </si>
  <si>
    <t xml:space="preserve">185 MCCLELLAN STREET, Bronx, NY 10456</t>
  </si>
  <si>
    <t xml:space="preserve">820 EAST 141 STREET, Bronx, NY 10454</t>
  </si>
  <si>
    <t xml:space="preserve">986 EAST 181 STREET, Bronx, NY 10460</t>
  </si>
  <si>
    <t xml:space="preserve">73 SULLIVAN STREET, Manhattan, NY 10012</t>
  </si>
  <si>
    <t xml:space="preserve">698 WEST END AVENUE, Manhattan, NY 10025</t>
  </si>
  <si>
    <t xml:space="preserve">115-20 JAMAICA AVENUE, Queens, NY 11418</t>
  </si>
  <si>
    <t xml:space="preserve">89-28 165 STREET, Queens, NY 11432</t>
  </si>
  <si>
    <t xml:space="preserve">1267 57 STREET, Brooklyn, NY 11219</t>
  </si>
  <si>
    <t xml:space="preserve">107 BANK STREET, Manhattan, NY 10014</t>
  </si>
  <si>
    <t xml:space="preserve">140 CROSBY STREET, Manhattan, NY 10012</t>
  </si>
  <si>
    <t xml:space="preserve">165 EAST 56 STREET, Manhattan, NY 10022</t>
  </si>
  <si>
    <t xml:space="preserve">989 EAST 9 STREET, Brooklyn, NY 11230</t>
  </si>
  <si>
    <t xml:space="preserve">358 FLATBUSH AVENUE, Brooklyn, NY 11217</t>
  </si>
  <si>
    <t xml:space="preserve">56 NORTH MOORE STREET, Manhattan, NY 10013</t>
  </si>
  <si>
    <t xml:space="preserve">WEST STREET, Brooklyn, NY 11222</t>
  </si>
  <si>
    <t xml:space="preserve">706 COURTLANDT AVENUE, Bronx, NY 10451</t>
  </si>
  <si>
    <t xml:space="preserve">1265 WALTON AVENUE, Bronx, NY 10452</t>
  </si>
  <si>
    <t xml:space="preserve">41-14 29 STREET, Queens, NY 11101</t>
  </si>
  <si>
    <t xml:space="preserve">47-15 34 AVENUE, Queens, NY 11101</t>
  </si>
  <si>
    <t xml:space="preserve">11 BROADWAY, Brooklyn, NY 11249</t>
  </si>
  <si>
    <t xml:space="preserve">43-55 147 STREET, Queens, NY 11355</t>
  </si>
  <si>
    <t xml:space="preserve">96-05 QUEENS BOULEVARD, Queens, NY 11374</t>
  </si>
  <si>
    <t xml:space="preserve">661 LEXINGTON AVENUE, Manhattan, NY 10022</t>
  </si>
  <si>
    <t xml:space="preserve">893 BROADWAY, Manhattan, NY 10003</t>
  </si>
  <si>
    <t xml:space="preserve">1400 BROADWAY, Manhattan, NY 10018</t>
  </si>
  <si>
    <t xml:space="preserve">112 WEST 34 STREET, Manhattan, NY 10001</t>
  </si>
  <si>
    <t xml:space="preserve">139 BOWERY, Manhattan, NY 10002</t>
  </si>
  <si>
    <t xml:space="preserve">185 EAST HOUSTON STREET, Manhattan, NY 10002</t>
  </si>
  <si>
    <t xml:space="preserve">132 WEST 27 STREET, Manhattan, NY 10001</t>
  </si>
  <si>
    <t xml:space="preserve">92-02 165 STREET, Queens, NY 11433</t>
  </si>
  <si>
    <t xml:space="preserve">897 CROTONA PARK NORTH, Bronx, NY 10460</t>
  </si>
  <si>
    <t xml:space="preserve">14 MT HOPE PLACE, Bronx, NY 10453</t>
  </si>
  <si>
    <t xml:space="preserve">906 EAST 178 STREET, Bronx, NY 10460</t>
  </si>
  <si>
    <t xml:space="preserve">1304 MERRIAM AVENUE, Bronx, NY 10452</t>
  </si>
  <si>
    <t xml:space="preserve">21 WEST 37 STREET, Manhattan, NY 10018</t>
  </si>
  <si>
    <t xml:space="preserve">250 WEST 57 STREET, Manhattan, NY 10019</t>
  </si>
  <si>
    <t xml:space="preserve">205 CLINTON STREET, Brooklyn, NY 11201</t>
  </si>
  <si>
    <t xml:space="preserve">11-02 43RD ROAD, Queens, NY 11101</t>
  </si>
  <si>
    <t xml:space="preserve">89-50 127 STREET, Queens, NY 11418</t>
  </si>
  <si>
    <t xml:space="preserve">4621 WALDO AVENUE, Bronx, NY 10471</t>
  </si>
  <si>
    <t xml:space="preserve">WEBSTER AVENUE, Bronx, NY 10458</t>
  </si>
  <si>
    <t xml:space="preserve">185 BROADWAY, Manhattan, NY 10007</t>
  </si>
  <si>
    <t xml:space="preserve">2800 WEBSTER AVENUE, Bronx, NY 10458</t>
  </si>
  <si>
    <t xml:space="preserve">117 WEST 70 STREET, Manhattan, NY 10023</t>
  </si>
  <si>
    <t xml:space="preserve">210 EAST 86 STREET, Manhattan, NY 10028</t>
  </si>
  <si>
    <t xml:space="preserve">403 AVENUE OF THE AMERICAS, Manhattan, NY 10014</t>
  </si>
  <si>
    <t xml:space="preserve">17 EASTERN PARKWAY, Brooklyn, NY 11238</t>
  </si>
  <si>
    <t xml:space="preserve">4121 3RD AVENUE, Bronx, NY 10457</t>
  </si>
  <si>
    <t xml:space="preserve">402 EASTERN PARKWAY, Brooklyn, NY 11225</t>
  </si>
  <si>
    <t xml:space="preserve">761 EAST TREMONT AVENUE, Bronx, NY 10460</t>
  </si>
  <si>
    <t xml:space="preserve">885 2 AVENUE, Manhattan, NY 10017</t>
  </si>
  <si>
    <t xml:space="preserve">18 WARSOFF PLACE, Brooklyn, NY 11205</t>
  </si>
  <si>
    <t xml:space="preserve">891 GARRISON AVENUE, Bronx, NY 10474</t>
  </si>
  <si>
    <t xml:space="preserve">19 WEST 44 STREET, Manhattan, NY 10036</t>
  </si>
  <si>
    <t xml:space="preserve">90-26 GRAND CENTRAL PARKWAY, Queens, NY 11369</t>
  </si>
  <si>
    <t xml:space="preserve">188 MONTAGUE STREET, Brooklyn, NY 11201</t>
  </si>
  <si>
    <t xml:space="preserve">1511 3 AVENUE, Manhattan, NY 10028</t>
  </si>
  <si>
    <t xml:space="preserve">33-02 SKILLMAN AVENUE, Queens, NY 11101</t>
  </si>
  <si>
    <t xml:space="preserve">547 WEST 27 STREET, Manhattan, NY 10001</t>
  </si>
  <si>
    <t xml:space="preserve">150-19 NORTHERN BOULEVARD, Queens, NY 11354</t>
  </si>
  <si>
    <t xml:space="preserve">194 COLUMBIA HEIGHTS, Brooklyn, NY 11201</t>
  </si>
  <si>
    <t xml:space="preserve">51 EAST 193 STREET, Bronx, NY 10468</t>
  </si>
  <si>
    <t xml:space="preserve">24 WEST 25 STREET, Manhattan, NY 10010</t>
  </si>
  <si>
    <t xml:space="preserve">48 WEST 25 STREET, Manhattan, NY 10010</t>
  </si>
  <si>
    <t xml:space="preserve">245 WEST 4TH STREET, Manhattan, NY 10014</t>
  </si>
  <si>
    <t xml:space="preserve">188 EAST 64 STREET, Manhattan, NY 10065</t>
  </si>
  <si>
    <t xml:space="preserve">311 WEST 43RD ST, Manhattan, NY 10036</t>
  </si>
  <si>
    <t xml:space="preserve">38 WEST 21 STREET, Manhattan, NY 10010</t>
  </si>
  <si>
    <t xml:space="preserve">4341 BULLARD AVENUE, Bronx, NY 10466</t>
  </si>
  <si>
    <t xml:space="preserve">227 GRAND STREET, Brooklyn, NY 11211</t>
  </si>
  <si>
    <t xml:space="preserve">452 KEAP STREET, Brooklyn, NY 11211</t>
  </si>
  <si>
    <t xml:space="preserve">456 GRAND STREET, Brooklyn, NY 11211</t>
  </si>
  <si>
    <t xml:space="preserve">89-31 QUEENS BOULEVARD, Queens, NY 11373</t>
  </si>
  <si>
    <t xml:space="preserve">70-02 34 AVENUE, Queens, NY 11372</t>
  </si>
  <si>
    <t xml:space="preserve">2140 HOLLAND AVENUE, Bronx, NY 10462</t>
  </si>
  <si>
    <t xml:space="preserve">143 ROEBLING STREET, Brooklyn, NY 11211</t>
  </si>
  <si>
    <t xml:space="preserve">44-64 45 AVENUE, Queens, NY 11101</t>
  </si>
  <si>
    <t xml:space="preserve">BEACH 50 STREET, Queens, NY 11691</t>
  </si>
  <si>
    <t xml:space="preserve">192 COLUMBIA HEIGHTS, Brooklyn, NY 11201</t>
  </si>
  <si>
    <t xml:space="preserve">34-02 LAUREL HILL BLVD, Queens, NY 11378</t>
  </si>
  <si>
    <t xml:space="preserve">TURNBULL AVENUE, Bronx, NY 10473</t>
  </si>
  <si>
    <t xml:space="preserve">3224 GRAND CONCOURSE, Bronx, NY 10458</t>
  </si>
  <si>
    <t xml:space="preserve">144-14 38 AVENUE, Queens, NY 11354</t>
  </si>
  <si>
    <t xml:space="preserve">7 CORNELIA STREET, Manhattan, NY 10014</t>
  </si>
  <si>
    <t xml:space="preserve">1 WHITEHALL STREET, Manhattan, NY 10004</t>
  </si>
  <si>
    <t xml:space="preserve">48 WEST 69 STREET, Manhattan, NY 10023</t>
  </si>
  <si>
    <t xml:space="preserve">1940 WASHINGTON AVENUE, Bronx, NY 10457</t>
  </si>
  <si>
    <t xml:space="preserve">1780 EAST TREMONT AVENUE, Bronx, NY 10460</t>
  </si>
  <si>
    <t xml:space="preserve">1113 WARD AVENUE, Bronx, NY 10472</t>
  </si>
  <si>
    <t xml:space="preserve">6025 6 AVENUE, Brooklyn, NY 11220</t>
  </si>
  <si>
    <t xml:space="preserve">2080 MCDONALD AVENUE, Brooklyn, NY 11223</t>
  </si>
  <si>
    <t xml:space="preserve">1133 BOSTON ROAD, Bronx, NY 10456</t>
  </si>
  <si>
    <t xml:space="preserve">675 HUDSON STREET, Manhattan, NY 10014</t>
  </si>
  <si>
    <t xml:space="preserve">281 PARK AVENUE SOUTH, Manhattan, NY 10010</t>
  </si>
  <si>
    <t xml:space="preserve">1150 WEBSTER AVENUE, Bronx, NY 10456</t>
  </si>
  <si>
    <t xml:space="preserve">10 EAST 30 STREET, Manhattan, NY 10016</t>
  </si>
  <si>
    <t xml:space="preserve">3188 RIVERDALE AVENUE, Bronx, NY 10463</t>
  </si>
  <si>
    <t xml:space="preserve">136 WEST 55 STREET, Manhattan, NY 10019</t>
  </si>
  <si>
    <t xml:space="preserve">148 GREEN STREET, Brooklyn, NY 11222</t>
  </si>
  <si>
    <t xml:space="preserve">409 EASTERN PARKWAY, Brooklyn, NY 11216</t>
  </si>
  <si>
    <t xml:space="preserve">133 WEST 11 STREET, Manhattan, NY 10011</t>
  </si>
  <si>
    <t xml:space="preserve">210-04 NORTHERN BOULEVARD, Queens, NY 11361</t>
  </si>
  <si>
    <t xml:space="preserve">NORTH 14 STREET, Brooklyn, NY 11249</t>
  </si>
  <si>
    <t xml:space="preserve">84-10 34 AVENUE, Queens, NY 11372</t>
  </si>
  <si>
    <t xml:space="preserve">2936 3 AVENUE, Bronx, NY 10455</t>
  </si>
  <si>
    <t xml:space="preserve">1630 EAST 15 STREET, Brooklyn, NY 11229</t>
  </si>
  <si>
    <t xml:space="preserve">73 WOOSTER STREET, Manhattan, NY 10012</t>
  </si>
  <si>
    <t xml:space="preserve">320 WEST 66TH STREET, Manhattan, NY 10023</t>
  </si>
  <si>
    <t xml:space="preserve">217 WEST 57TH STREET, Manhattan, NY 10019</t>
  </si>
  <si>
    <t xml:space="preserve">47-46 40 STREET, Queens, NY 11104</t>
  </si>
  <si>
    <t xml:space="preserve">1940 WEBSTER AVENUE, Bronx, NY 10457</t>
  </si>
  <si>
    <t xml:space="preserve">2816 ROEBLING AVENUE, Bronx, NY 10461</t>
  </si>
  <si>
    <t xml:space="preserve">97 CLAREMONT AVENUE, Manhattan, NY 10027</t>
  </si>
  <si>
    <t xml:space="preserve">41-34 45 STREET, Queens, NY 11104</t>
  </si>
  <si>
    <t xml:space="preserve">101 PENNSYLVANIA AVENUE, Brooklyn, NY 11207</t>
  </si>
  <si>
    <t xml:space="preserve">153-15 CROSS ISLAND PARKWAY, Queens, NY 11357</t>
  </si>
  <si>
    <t xml:space="preserve">1080 MCDONALD AVENUE, Brooklyn, NY 11230</t>
  </si>
  <si>
    <t xml:space="preserve">500 COLUMBUS AVENUE, Manhattan, NY 10024</t>
  </si>
  <si>
    <t xml:space="preserve">1441 BROADWAY, Manhattan, NY 10018</t>
  </si>
  <si>
    <t xml:space="preserve">295 LAFAYETTE STREET, Manhattan, NY 10012</t>
  </si>
  <si>
    <t xml:space="preserve">332 DEGRAW STREET, Brooklyn, NY 11231</t>
  </si>
  <si>
    <t xml:space="preserve">1930 AMSTERDAM AVENUE, Manhattan, NY 10032</t>
  </si>
  <si>
    <t xml:space="preserve">55 SMITH STREET, Brooklyn, NY 11201</t>
  </si>
  <si>
    <t xml:space="preserve">50 EAST 41 STREET, Manhattan, NY 10017</t>
  </si>
  <si>
    <t xml:space="preserve">72-25 AUSTIN STREET, Queens, NY 11375</t>
  </si>
  <si>
    <t xml:space="preserve">43-10 23 STREET, Queens, NY 11101</t>
  </si>
  <si>
    <t xml:space="preserve">215-15 NORTHERN BOULEVARD, Queens, NY 11361</t>
  </si>
  <si>
    <t xml:space="preserve">35-10 STEINWAY STREET, Queens, NY 11101</t>
  </si>
  <si>
    <t xml:space="preserve">35-18 STEINWAY STREET, Queens, NY 11101</t>
  </si>
  <si>
    <t xml:space="preserve">10 EAST 47 STREET, Manhattan, NY 10017</t>
  </si>
  <si>
    <t xml:space="preserve">224 MULBERRY STREET, Manhattan, NY 10012</t>
  </si>
  <si>
    <t xml:space="preserve">15-26 NEW HAVEN AVENUE, Queens, NY 11691</t>
  </si>
  <si>
    <t xml:space="preserve">UNDERCLIFF AVENUE, Bronx, NY 10452</t>
  </si>
  <si>
    <t xml:space="preserve">10 EAST 53 STREET, Manhattan, NY 10022</t>
  </si>
  <si>
    <t xml:space="preserve">111 WEST 57 STREET, Manhattan, NY 10019</t>
  </si>
  <si>
    <t xml:space="preserve">165 GRAND STREET, Manhattan, NY 10013</t>
  </si>
  <si>
    <t xml:space="preserve">277 WEST 11 STREET, Manhattan, NY 10014</t>
  </si>
  <si>
    <t xml:space="preserve">2900 OCEAN PARKWAY, Brooklyn, NY 11235</t>
  </si>
  <si>
    <t xml:space="preserve">40 GARDEN PLACE, Brooklyn, NY 11201</t>
  </si>
  <si>
    <t xml:space="preserve">425 DEVOE AVENUE, Bronx, NY 10460</t>
  </si>
  <si>
    <t xml:space="preserve">132-35 SANFORD AVENUE, Queens, NY 11355</t>
  </si>
  <si>
    <t xml:space="preserve">97-25 64TH AVENUE, Queens, NY 11374</t>
  </si>
  <si>
    <t xml:space="preserve">142-20 FRANKLIN AVENUE, Queens, NY 11355</t>
  </si>
  <si>
    <t xml:space="preserve">212-20 NORTHERN BOULEVARD, Queens, NY 11361</t>
  </si>
  <si>
    <t xml:space="preserve">71-02 KISSENA BOULEVARD, Queens, NY 11367</t>
  </si>
  <si>
    <t xml:space="preserve">150 WEST 85 STREET, Manhattan, NY 10024</t>
  </si>
  <si>
    <t xml:space="preserve">110 EAST 55 STREET, Manhattan, NY 10022</t>
  </si>
  <si>
    <t xml:space="preserve">659 COURT STREET, Brooklyn, NY 11231</t>
  </si>
  <si>
    <t xml:space="preserve">2480 BUTLER PLACE, Bronx, NY 10461</t>
  </si>
  <si>
    <t xml:space="preserve">57 BEEKMAN STREET, Manhattan, NY 10038</t>
  </si>
  <si>
    <t xml:space="preserve">323 WEST 96 STREET, Manhattan, NY 10025</t>
  </si>
  <si>
    <t xml:space="preserve">46 MONROE PLACE, Brooklyn, NY 11201</t>
  </si>
  <si>
    <t xml:space="preserve">131 EAST 12 STREET, Manhattan, NY 10003</t>
  </si>
  <si>
    <t xml:space="preserve">34 EAST 70 STREET, Manhattan, NY 10021</t>
  </si>
  <si>
    <t xml:space="preserve">1820 LORING PLACE SOUTH, Bronx, NY 10453</t>
  </si>
  <si>
    <t xml:space="preserve">315 SEIGEL STREET, Brooklyn, NY 11206</t>
  </si>
  <si>
    <t xml:space="preserve">133-10 32 AVENUE, Queens, NY 11354</t>
  </si>
  <si>
    <t xml:space="preserve">469 TROY AVENUE, Brooklyn, NY 11203</t>
  </si>
  <si>
    <t xml:space="preserve">1932 JEROME AVENUE, Bronx, NY 10453</t>
  </si>
  <si>
    <t xml:space="preserve">646 EAST 231 STREET, Bronx, NY 10466</t>
  </si>
  <si>
    <t xml:space="preserve">1265 OAK POINT AVENUE, Bronx, NY 10474</t>
  </si>
  <si>
    <t xml:space="preserve">2015 BOARDWALK WEST, Brooklyn, NY 11224</t>
  </si>
  <si>
    <t xml:space="preserve">81 COURT STREET, Brooklyn, NY 11201</t>
  </si>
  <si>
    <t xml:space="preserve">160 WEST 25 STREET, Manhattan, NY 10001</t>
  </si>
  <si>
    <t xml:space="preserve">143 LUDLOW STREET, Manhattan, NY 10002</t>
  </si>
  <si>
    <t xml:space="preserve">38-24 32 STREET, Queens, NY 11101</t>
  </si>
  <si>
    <t xml:space="preserve">428 BROADWAY, Manhattan, NY 10013</t>
  </si>
  <si>
    <t xml:space="preserve">150 CHARLES STREET, Manhattan, NY 10014</t>
  </si>
  <si>
    <t xml:space="preserve">1260 OAK POINT AVENUE, Bronx, NY 10474</t>
  </si>
  <si>
    <t xml:space="preserve">800 BRADY AVENUE, Bronx, NY 10462</t>
  </si>
  <si>
    <t xml:space="preserve">554 EAST 191ST STREET, Bronx, NY 10458</t>
  </si>
  <si>
    <t xml:space="preserve">1266 BOSTON ROAD, Bronx, NY 10456</t>
  </si>
  <si>
    <t xml:space="preserve">2817 CRESTON AVENUE, Bronx, NY 10468</t>
  </si>
  <si>
    <t xml:space="preserve">277 SOUTH 5TH STREET, Brooklyn, NY 11211</t>
  </si>
  <si>
    <t xml:space="preserve">1079 FULTON STREET, Brooklyn, NY 11238</t>
  </si>
  <si>
    <t xml:space="preserve">270 EAST 169 STREET, Bronx, NY 10456</t>
  </si>
  <si>
    <t xml:space="preserve">71 GREENE STREET, Manhattan, NY 10012</t>
  </si>
  <si>
    <t xml:space="preserve">69 GREENE STREET, Manhattan, NY 10012</t>
  </si>
  <si>
    <t xml:space="preserve">42 CROSBY STREET, Manhattan, NY 10012</t>
  </si>
  <si>
    <t xml:space="preserve">75-43 PARSONS BOULEVARD, Queens, NY 11366</t>
  </si>
  <si>
    <t xml:space="preserve">130 HOPE STREET, Brooklyn, NY 11211</t>
  </si>
  <si>
    <t xml:space="preserve">11-25 46 ROAD, Queens, NY 11101</t>
  </si>
  <si>
    <t xml:space="preserve">309 EAST 94TH STREET, Manhattan, NY 10128</t>
  </si>
  <si>
    <t xml:space="preserve">2120 TIEBOUT AVENUE, Bronx, NY 10457</t>
  </si>
  <si>
    <t xml:space="preserve">801 BARTHOLDI STREET, Bronx, NY 10467</t>
  </si>
  <si>
    <t xml:space="preserve">1365 38 STREET, Brooklyn, NY 11218</t>
  </si>
  <si>
    <t xml:space="preserve">1453 TELLER AVENUE, Bronx, NY 10457</t>
  </si>
  <si>
    <t xml:space="preserve">100 WEST 18 STREET, Manhattan, NY 10011</t>
  </si>
  <si>
    <t xml:space="preserve">45 DOUGLASS STREET, Brooklyn, NY 11231</t>
  </si>
  <si>
    <t xml:space="preserve">59-48 55 STREET, Queens, NY 11378</t>
  </si>
  <si>
    <t xml:space="preserve">153-44 SOUTH CONDUIT AVENUE, Queens, NY 11434</t>
  </si>
  <si>
    <t xml:space="preserve">10-01 45 ROAD, Queens, NY 11101</t>
  </si>
  <si>
    <t xml:space="preserve">28 EAST 70 STREET, Manhattan, NY 10021</t>
  </si>
  <si>
    <t xml:space="preserve">310 WEST 80 STREET, Manhattan, NY 10024</t>
  </si>
  <si>
    <t xml:space="preserve">150 NASSAU STREET, Manhattan, NY 10038</t>
  </si>
  <si>
    <t xml:space="preserve">60 NORTH 1 STREET, Brooklyn, NY 11249</t>
  </si>
  <si>
    <t xml:space="preserve">40-06 MAIN STREET, Queens, NY 11354</t>
  </si>
  <si>
    <t xml:space="preserve">126 PACIFIC STREET, Brooklyn, NY 11201</t>
  </si>
  <si>
    <t xml:space="preserve">81-11 ROOSEVELT AVENUE, Queens, NY 11372</t>
  </si>
  <si>
    <t xml:space="preserve">3075 3 AVENUE, Bronx, NY 10451</t>
  </si>
  <si>
    <t xml:space="preserve">555 WEST 22ND STREET, Manhattan, NY 10011</t>
  </si>
  <si>
    <t xml:space="preserve">130 BEARD STREET, Brooklyn, NY 11231</t>
  </si>
  <si>
    <t xml:space="preserve">565 BROOME STREET, Manhattan, NY 10013</t>
  </si>
  <si>
    <t xml:space="preserve">10-11 46 AVENUE, Queens, NY 11101</t>
  </si>
  <si>
    <t xml:space="preserve">407 W 206TH STREET, Manhattan, NY 10034</t>
  </si>
  <si>
    <t xml:space="preserve">1818 86 STREET, Brooklyn, NY 11214</t>
  </si>
  <si>
    <t xml:space="preserve">24-29 31 STREET, Queens, NY 11102</t>
  </si>
  <si>
    <t xml:space="preserve">2085 STARLING AVENUE, Bronx, NY 10462</t>
  </si>
  <si>
    <t xml:space="preserve">50 BRIDGE PARK DRIVE, Brooklyn, NY 11201</t>
  </si>
  <si>
    <t xml:space="preserve">147-22 73RD AVENUE, Queens, NY 11367</t>
  </si>
  <si>
    <t xml:space="preserve">509 PACIFIC STREET, Brooklyn, NY 11217</t>
  </si>
  <si>
    <t xml:space="preserve">3394 BOSTON ROAD, Bronx, NY 10469</t>
  </si>
  <si>
    <t xml:space="preserve">760 MADISON AVENUE, Manhattan, NY 10065</t>
  </si>
  <si>
    <t xml:space="preserve">41-25 102 STREET, Queens, NY 11368</t>
  </si>
  <si>
    <t xml:space="preserve">3871 SEDGWICK AVENUE, Bronx, NY 10463</t>
  </si>
  <si>
    <t xml:space="preserve">Month</t>
  </si>
  <si>
    <t xml:space="preserve">2020 and above</t>
  </si>
  <si>
    <t xml:space="preserve">2000-2019</t>
  </si>
  <si>
    <t xml:space="preserve">1950-1999</t>
  </si>
  <si>
    <t xml:space="preserve">Before 1950</t>
  </si>
</sst>
</file>

<file path=xl/styles.xml><?xml version="1.0" encoding="utf-8"?>
<styleSheet xmlns="http://schemas.openxmlformats.org/spreadsheetml/2006/main">
  <numFmts count="6">
    <numFmt numFmtId="164" formatCode="General"/>
    <numFmt numFmtId="165" formatCode="yyyy\-mm\-dd"/>
    <numFmt numFmtId="166" formatCode="\$#,##0.00"/>
    <numFmt numFmtId="167" formatCode="#,##0"/>
    <numFmt numFmtId="168" formatCode="mmm\-yyyy"/>
    <numFmt numFmtId="169" formatCode="\$#,##0"/>
  </numFmts>
  <fonts count="10">
    <font>
      <sz val="11"/>
      <name val="Calibri"/>
      <family val="0"/>
      <charset val="1"/>
    </font>
    <font>
      <sz val="10"/>
      <name val="Arial"/>
      <family val="0"/>
    </font>
    <font>
      <sz val="10"/>
      <name val="Arial"/>
      <family val="0"/>
    </font>
    <font>
      <sz val="10"/>
      <name val="Arial"/>
      <family val="0"/>
    </font>
    <font>
      <sz val="11"/>
      <color rgb="FF0000FF"/>
      <name val="Calibri"/>
      <family val="0"/>
    </font>
    <font>
      <sz val="11"/>
      <name val="Calibri"/>
      <family val="0"/>
    </font>
    <font>
      <b val="true"/>
      <sz val="11"/>
      <name val="Calibri"/>
      <family val="0"/>
      <charset val="1"/>
    </font>
    <font>
      <b val="true"/>
      <sz val="14"/>
      <name val="Arial"/>
      <family val="2"/>
    </font>
    <font>
      <sz val="10"/>
      <name val="Arial"/>
      <family val="2"/>
    </font>
    <font>
      <b val="true"/>
      <sz val="11"/>
      <name val="Arial"/>
      <family val="2"/>
    </font>
  </fonts>
  <fills count="3">
    <fill>
      <patternFill patternType="none"/>
    </fill>
    <fill>
      <patternFill patternType="gray125"/>
    </fill>
    <fill>
      <patternFill patternType="solid">
        <fgColor rgb="FF729FCF"/>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6" fontId="0" fillId="2"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7"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729FC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C7059669"/>
      <rgbColor rgb="FFC0C0C0"/>
      <rgbColor rgb="FF808080"/>
      <rgbColor rgb="FF729FCF"/>
      <rgbColor rgb="C7BE123C"/>
      <rgbColor rgb="FFFFFFCC"/>
      <rgbColor rgb="FFCCFFFF"/>
      <rgbColor rgb="FF660066"/>
      <rgbColor rgb="FFFF8080"/>
      <rgbColor rgb="C71D4ED8"/>
      <rgbColor rgb="FFD9D9D9"/>
      <rgbColor rgb="FF000080"/>
      <rgbColor rgb="FFFF00FF"/>
      <rgbColor rgb="FFFFFF00"/>
      <rgbColor rgb="FF00FFFF"/>
      <rgbColor rgb="FF800080"/>
      <rgbColor rgb="FF800000"/>
      <rgbColor rgb="FF008080"/>
      <rgbColor rgb="FF0000FF"/>
      <rgbColor rgb="FF00CCFF"/>
      <rgbColor rgb="FFCCFFFF"/>
      <rgbColor rgb="FFDDDDDD"/>
      <rgbColor rgb="FFFFFF99"/>
      <rgbColor rgb="FF99CCFF"/>
      <rgbColor rgb="FFFF99CC"/>
      <rgbColor rgb="FFCC99FF"/>
      <rgbColor rgb="FFFFCC99"/>
      <rgbColor rgb="FF3366FF"/>
      <rgbColor rgb="FF33CCCC"/>
      <rgbColor rgb="FF99CC00"/>
      <rgbColor rgb="FFFFCC00"/>
      <rgbColor rgb="FFFF9900"/>
      <rgbColor rgb="C7D97706"/>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400" b="1" u="none" strike="noStrike">
                <a:uFillTx/>
                <a:latin typeface="Arial"/>
              </a:rPr>
              <a:t>USD per square foot by sale month</a:t>
            </a:r>
          </a:p>
        </c:rich>
      </c:tx>
      <c:overlay val="0"/>
      <c:spPr>
        <a:noFill/>
        <a:ln w="0">
          <a:noFill/>
        </a:ln>
      </c:spPr>
    </c:title>
    <c:autoTitleDeleted val="0"/>
    <c:plotArea>
      <c:scatterChart>
        <c:scatterStyle val="lineMarker"/>
        <c:varyColors val="0"/>
        <c:ser>
          <c:idx val="0"/>
          <c:order val="0"/>
          <c:tx>
            <c:strRef>
              <c:f>'2026 transactions'!$A$1</c:f>
              <c:strCache>
                <c:ptCount val="1"/>
                <c:pt idx="0">
                  <c:v>Date of transaction</c:v>
                </c:pt>
              </c:strCache>
            </c:strRef>
          </c:tx>
          <c:spPr>
            <a:solidFill>
              <a:srgbClr val="1d4ed8"/>
            </a:solidFill>
            <a:ln w="12600">
              <a:noFill/>
            </a:ln>
          </c:spPr>
          <c:marker>
            <c:symbol val="circle"/>
            <c:size val="6"/>
            <c:spPr>
              <a:solidFill>
                <a:srgbClr val="1d4ed8"/>
              </a:solidFill>
            </c:spPr>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noFill/>
                </a:ln>
              </c:spPr>
            </c:leaderLines>
            <c:extLst>
              <c:ext xmlns:c15="http://schemas.microsoft.com/office/drawing/2012/chart" uri="{CE6537A1-D6FC-4f65-9D91-7224C49458BB}">
                <c15:showLeaderLines val="1"/>
              </c:ext>
            </c:extLst>
          </c:dLbls>
          <c:xVal>
            <c:numRef>
              <c:f>Plot!$A$49:$A$75</c:f>
              <c:numCache>
                <c:formatCode>yyyy\-mm\-dd</c:formatCode>
                <c:ptCount val="27"/>
                <c:pt idx="0">
                  <c:v>46035</c:v>
                </c:pt>
                <c:pt idx="1">
                  <c:v>46043</c:v>
                </c:pt>
                <c:pt idx="2">
                  <c:v>46048</c:v>
                </c:pt>
                <c:pt idx="3">
                  <c:v>46048</c:v>
                </c:pt>
                <c:pt idx="4">
                  <c:v>46048</c:v>
                </c:pt>
                <c:pt idx="5">
                  <c:v>46048</c:v>
                </c:pt>
                <c:pt idx="6">
                  <c:v>46048</c:v>
                </c:pt>
                <c:pt idx="7">
                  <c:v>46065</c:v>
                </c:pt>
                <c:pt idx="8">
                  <c:v>46072</c:v>
                </c:pt>
                <c:pt idx="9">
                  <c:v>46085</c:v>
                </c:pt>
                <c:pt idx="10">
                  <c:v>46086</c:v>
                </c:pt>
                <c:pt idx="11">
                  <c:v>46111</c:v>
                </c:pt>
                <c:pt idx="12">
                  <c:v>46115</c:v>
                </c:pt>
                <c:pt idx="13">
                  <c:v>46129</c:v>
                </c:pt>
                <c:pt idx="14">
                  <c:v>46139</c:v>
                </c:pt>
                <c:pt idx="15">
                  <c:v>46148</c:v>
                </c:pt>
                <c:pt idx="16">
                  <c:v>46157</c:v>
                </c:pt>
                <c:pt idx="17">
                  <c:v>46177</c:v>
                </c:pt>
                <c:pt idx="18">
                  <c:v>46183</c:v>
                </c:pt>
                <c:pt idx="19">
                  <c:v>46202</c:v>
                </c:pt>
                <c:pt idx="20">
                  <c:v>46211</c:v>
                </c:pt>
                <c:pt idx="21">
                  <c:v>46216</c:v>
                </c:pt>
                <c:pt idx="22">
                  <c:v>46232</c:v>
                </c:pt>
                <c:pt idx="23">
                  <c:v>46274</c:v>
                </c:pt>
                <c:pt idx="24">
                  <c:v>46281</c:v>
                </c:pt>
                <c:pt idx="25">
                  <c:v>46287</c:v>
                </c:pt>
                <c:pt idx="26">
                  <c:v>46295</c:v>
                </c:pt>
              </c:numCache>
            </c:numRef>
          </c:xVal>
          <c:yVal>
            <c:numRef>
              <c:f>Plot!$B$49:$B$75</c:f>
              <c:numCache>
                <c:formatCode>\$#,##0.00</c:formatCode>
                <c:ptCount val="27"/>
                <c:pt idx="0">
                  <c:v>985.767396447482</c:v>
                </c:pt>
                <c:pt idx="1">
                  <c:v>997.414134348851</c:v>
                </c:pt>
                <c:pt idx="2">
                  <c:v>486.690114269448</c:v>
                </c:pt>
                <c:pt idx="3">
                  <c:v>805.02926140247</c:v>
                </c:pt>
                <c:pt idx="4">
                  <c:v>547.138252509982</c:v>
                </c:pt>
                <c:pt idx="5">
                  <c:v>703.043672101591</c:v>
                </c:pt>
                <c:pt idx="6">
                  <c:v>741.37278899178</c:v>
                </c:pt>
                <c:pt idx="7">
                  <c:v>48.3799188007495</c:v>
                </c:pt>
                <c:pt idx="8">
                  <c:v>363.794535173396</c:v>
                </c:pt>
                <c:pt idx="9">
                  <c:v>197.719553847796</c:v>
                </c:pt>
                <c:pt idx="10">
                  <c:v>227.638931742603</c:v>
                </c:pt>
                <c:pt idx="11">
                  <c:v>2974.10008779631</c:v>
                </c:pt>
                <c:pt idx="12">
                  <c:v>627.71212576076</c:v>
                </c:pt>
                <c:pt idx="13">
                  <c:v>1469.56116866488</c:v>
                </c:pt>
                <c:pt idx="14">
                  <c:v>811.088295687885</c:v>
                </c:pt>
                <c:pt idx="15">
                  <c:v>343.915343915344</c:v>
                </c:pt>
                <c:pt idx="16">
                  <c:v>2663.85203055891</c:v>
                </c:pt>
                <c:pt idx="17">
                  <c:v>847.782908032197</c:v>
                </c:pt>
                <c:pt idx="18">
                  <c:v>96.682764061935</c:v>
                </c:pt>
                <c:pt idx="19">
                  <c:v>616.543928754924</c:v>
                </c:pt>
                <c:pt idx="20">
                  <c:v>170.80990171861</c:v>
                </c:pt>
                <c:pt idx="21">
                  <c:v>943.701454371104</c:v>
                </c:pt>
                <c:pt idx="22">
                  <c:v>441.974996843036</c:v>
                </c:pt>
                <c:pt idx="23">
                  <c:v>833.032988106329</c:v>
                </c:pt>
                <c:pt idx="24">
                  <c:v>412.09022252872</c:v>
                </c:pt>
                <c:pt idx="25">
                  <c:v>67.1847810443407</c:v>
                </c:pt>
                <c:pt idx="26">
                  <c:v>387.107632752672</c:v>
                </c:pt>
              </c:numCache>
            </c:numRef>
          </c:yVal>
          <c:smooth val="0"/>
        </c:ser>
        <c:ser>
          <c:idx val="1"/>
          <c:order val="1"/>
          <c:tx>
            <c:strRef>
              <c:f>'2026 transactions'!$A$1</c:f>
              <c:strCache>
                <c:ptCount val="1"/>
                <c:pt idx="0">
                  <c:v>Date of transaction</c:v>
                </c:pt>
              </c:strCache>
            </c:strRef>
          </c:tx>
          <c:spPr>
            <a:solidFill>
              <a:srgbClr val="059669"/>
            </a:solidFill>
            <a:ln w="12600">
              <a:noFill/>
            </a:ln>
          </c:spPr>
          <c:marker>
            <c:symbol val="circle"/>
            <c:size val="6"/>
            <c:spPr>
              <a:solidFill>
                <a:srgbClr val="059669"/>
              </a:solidFill>
            </c:spPr>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noFill/>
                </a:ln>
              </c:spPr>
            </c:leaderLines>
            <c:extLst>
              <c:ext xmlns:c15="http://schemas.microsoft.com/office/drawing/2012/chart" uri="{CE6537A1-D6FC-4f65-9D91-7224C49458BB}">
                <c15:showLeaderLines val="1"/>
              </c:ext>
            </c:extLst>
          </c:dLbls>
          <c:xVal>
            <c:numRef>
              <c:f>Plot!$C$49:$C$122</c:f>
              <c:numCache>
                <c:formatCode>yyyy\-mm\-dd</c:formatCode>
                <c:ptCount val="74"/>
                <c:pt idx="0">
                  <c:v>46030</c:v>
                </c:pt>
                <c:pt idx="1">
                  <c:v>46031</c:v>
                </c:pt>
                <c:pt idx="2">
                  <c:v>46035</c:v>
                </c:pt>
                <c:pt idx="3">
                  <c:v>46035</c:v>
                </c:pt>
                <c:pt idx="4">
                  <c:v>46038</c:v>
                </c:pt>
                <c:pt idx="5">
                  <c:v>46048</c:v>
                </c:pt>
                <c:pt idx="6">
                  <c:v>46048</c:v>
                </c:pt>
                <c:pt idx="7">
                  <c:v>46048</c:v>
                </c:pt>
                <c:pt idx="8">
                  <c:v>46048</c:v>
                </c:pt>
                <c:pt idx="9">
                  <c:v>46048</c:v>
                </c:pt>
                <c:pt idx="10">
                  <c:v>46055</c:v>
                </c:pt>
                <c:pt idx="11">
                  <c:v>46063</c:v>
                </c:pt>
                <c:pt idx="12">
                  <c:v>46064</c:v>
                </c:pt>
                <c:pt idx="13">
                  <c:v>46066</c:v>
                </c:pt>
                <c:pt idx="14">
                  <c:v>46070</c:v>
                </c:pt>
                <c:pt idx="15">
                  <c:v>46071</c:v>
                </c:pt>
                <c:pt idx="16">
                  <c:v>46073</c:v>
                </c:pt>
                <c:pt idx="17">
                  <c:v>46080</c:v>
                </c:pt>
                <c:pt idx="18">
                  <c:v>46092</c:v>
                </c:pt>
                <c:pt idx="19">
                  <c:v>46094</c:v>
                </c:pt>
                <c:pt idx="20">
                  <c:v>46098</c:v>
                </c:pt>
                <c:pt idx="21">
                  <c:v>46100</c:v>
                </c:pt>
                <c:pt idx="22">
                  <c:v>46104</c:v>
                </c:pt>
                <c:pt idx="23">
                  <c:v>46108</c:v>
                </c:pt>
                <c:pt idx="24">
                  <c:v>46120</c:v>
                </c:pt>
                <c:pt idx="25">
                  <c:v>46121</c:v>
                </c:pt>
                <c:pt idx="26">
                  <c:v>46125</c:v>
                </c:pt>
                <c:pt idx="27">
                  <c:v>46127</c:v>
                </c:pt>
                <c:pt idx="28">
                  <c:v>46134</c:v>
                </c:pt>
                <c:pt idx="29">
                  <c:v>46134</c:v>
                </c:pt>
                <c:pt idx="30">
                  <c:v>46135</c:v>
                </c:pt>
                <c:pt idx="31">
                  <c:v>46140</c:v>
                </c:pt>
                <c:pt idx="32">
                  <c:v>46143</c:v>
                </c:pt>
                <c:pt idx="33">
                  <c:v>46160</c:v>
                </c:pt>
                <c:pt idx="34">
                  <c:v>46161</c:v>
                </c:pt>
                <c:pt idx="35">
                  <c:v>46162</c:v>
                </c:pt>
                <c:pt idx="36">
                  <c:v>46168</c:v>
                </c:pt>
                <c:pt idx="37">
                  <c:v>46170</c:v>
                </c:pt>
                <c:pt idx="38">
                  <c:v>46171</c:v>
                </c:pt>
                <c:pt idx="39">
                  <c:v>46174</c:v>
                </c:pt>
                <c:pt idx="40">
                  <c:v>46177</c:v>
                </c:pt>
                <c:pt idx="41">
                  <c:v>46178</c:v>
                </c:pt>
                <c:pt idx="42">
                  <c:v>46178</c:v>
                </c:pt>
                <c:pt idx="43">
                  <c:v>46181</c:v>
                </c:pt>
                <c:pt idx="44">
                  <c:v>46184</c:v>
                </c:pt>
                <c:pt idx="45">
                  <c:v>46184</c:v>
                </c:pt>
                <c:pt idx="46">
                  <c:v>46198</c:v>
                </c:pt>
                <c:pt idx="47">
                  <c:v>46203</c:v>
                </c:pt>
                <c:pt idx="48">
                  <c:v>46203</c:v>
                </c:pt>
                <c:pt idx="49">
                  <c:v>46203</c:v>
                </c:pt>
                <c:pt idx="50">
                  <c:v>46219</c:v>
                </c:pt>
                <c:pt idx="51">
                  <c:v>46223</c:v>
                </c:pt>
                <c:pt idx="52">
                  <c:v>46223</c:v>
                </c:pt>
                <c:pt idx="53">
                  <c:v>46225</c:v>
                </c:pt>
                <c:pt idx="54">
                  <c:v>46231</c:v>
                </c:pt>
                <c:pt idx="55">
                  <c:v>46234</c:v>
                </c:pt>
                <c:pt idx="56">
                  <c:v>46241</c:v>
                </c:pt>
                <c:pt idx="57">
                  <c:v>46241</c:v>
                </c:pt>
                <c:pt idx="58">
                  <c:v>46258</c:v>
                </c:pt>
                <c:pt idx="59">
                  <c:v>46265</c:v>
                </c:pt>
                <c:pt idx="60">
                  <c:v>46269</c:v>
                </c:pt>
                <c:pt idx="61">
                  <c:v>46269</c:v>
                </c:pt>
                <c:pt idx="62">
                  <c:v>46269</c:v>
                </c:pt>
                <c:pt idx="63">
                  <c:v>46273</c:v>
                </c:pt>
                <c:pt idx="64">
                  <c:v>46279</c:v>
                </c:pt>
                <c:pt idx="65">
                  <c:v>46283</c:v>
                </c:pt>
                <c:pt idx="66">
                  <c:v>46283</c:v>
                </c:pt>
                <c:pt idx="67">
                  <c:v>46283</c:v>
                </c:pt>
                <c:pt idx="68">
                  <c:v>46286</c:v>
                </c:pt>
                <c:pt idx="69">
                  <c:v>46286</c:v>
                </c:pt>
                <c:pt idx="70">
                  <c:v>46290</c:v>
                </c:pt>
                <c:pt idx="71">
                  <c:v>46290</c:v>
                </c:pt>
                <c:pt idx="72">
                  <c:v>46290</c:v>
                </c:pt>
                <c:pt idx="73">
                  <c:v>46294</c:v>
                </c:pt>
              </c:numCache>
            </c:numRef>
          </c:xVal>
          <c:yVal>
            <c:numRef>
              <c:f>Plot!$D$49:$D$122</c:f>
              <c:numCache>
                <c:formatCode>\$#,##0.00</c:formatCode>
                <c:ptCount val="74"/>
                <c:pt idx="0">
                  <c:v>1061.39655868327</c:v>
                </c:pt>
                <c:pt idx="1">
                  <c:v>118.396285640107</c:v>
                </c:pt>
                <c:pt idx="2">
                  <c:v>187.081500955518</c:v>
                </c:pt>
                <c:pt idx="3">
                  <c:v>68.9206537354426</c:v>
                </c:pt>
                <c:pt idx="4">
                  <c:v>24.1200923699632</c:v>
                </c:pt>
                <c:pt idx="5">
                  <c:v>866.036278372234</c:v>
                </c:pt>
                <c:pt idx="6">
                  <c:v>634.913423542091</c:v>
                </c:pt>
                <c:pt idx="7">
                  <c:v>679.154078875313</c:v>
                </c:pt>
                <c:pt idx="8">
                  <c:v>487.22669529144</c:v>
                </c:pt>
                <c:pt idx="9">
                  <c:v>693.822051757566</c:v>
                </c:pt>
                <c:pt idx="10">
                  <c:v>56.1028488836484</c:v>
                </c:pt>
                <c:pt idx="11">
                  <c:v>93.9202698852534</c:v>
                </c:pt>
                <c:pt idx="12">
                  <c:v>35.6147468524553</c:v>
                </c:pt>
                <c:pt idx="13">
                  <c:v>371.371795289442</c:v>
                </c:pt>
                <c:pt idx="14">
                  <c:v>89.8065310730597</c:v>
                </c:pt>
                <c:pt idx="15">
                  <c:v>51.5998146437798</c:v>
                </c:pt>
                <c:pt idx="16">
                  <c:v>1052.63157894737</c:v>
                </c:pt>
                <c:pt idx="17">
                  <c:v>5281.3215550086</c:v>
                </c:pt>
                <c:pt idx="18">
                  <c:v>603.236506067741</c:v>
                </c:pt>
                <c:pt idx="19">
                  <c:v>753.759784323637</c:v>
                </c:pt>
                <c:pt idx="20">
                  <c:v>58.2397614499371</c:v>
                </c:pt>
                <c:pt idx="21">
                  <c:v>632.992139120877</c:v>
                </c:pt>
                <c:pt idx="22">
                  <c:v>614.223665160356</c:v>
                </c:pt>
                <c:pt idx="23">
                  <c:v>91.2638233955394</c:v>
                </c:pt>
                <c:pt idx="24">
                  <c:v>587.780355761794</c:v>
                </c:pt>
                <c:pt idx="25">
                  <c:v>508.783670737828</c:v>
                </c:pt>
                <c:pt idx="26">
                  <c:v>36.1218396983762</c:v>
                </c:pt>
                <c:pt idx="27">
                  <c:v>599.056603773585</c:v>
                </c:pt>
                <c:pt idx="28">
                  <c:v>31.5509105204678</c:v>
                </c:pt>
                <c:pt idx="29">
                  <c:v>47.3395706969422</c:v>
                </c:pt>
                <c:pt idx="30">
                  <c:v>800.768737988469</c:v>
                </c:pt>
                <c:pt idx="31">
                  <c:v>263.703300823661</c:v>
                </c:pt>
                <c:pt idx="32">
                  <c:v>314.047144018326</c:v>
                </c:pt>
                <c:pt idx="33">
                  <c:v>166.316421495047</c:v>
                </c:pt>
                <c:pt idx="34">
                  <c:v>1348.88715953307</c:v>
                </c:pt>
                <c:pt idx="35">
                  <c:v>341.425164178129</c:v>
                </c:pt>
                <c:pt idx="36">
                  <c:v>1593.00391394585</c:v>
                </c:pt>
                <c:pt idx="37">
                  <c:v>268.756998880179</c:v>
                </c:pt>
                <c:pt idx="38">
                  <c:v>91.4531331271827</c:v>
                </c:pt>
                <c:pt idx="39">
                  <c:v>76.0375479351189</c:v>
                </c:pt>
                <c:pt idx="40">
                  <c:v>77.2322815626955</c:v>
                </c:pt>
                <c:pt idx="41">
                  <c:v>1378.88873794321</c:v>
                </c:pt>
                <c:pt idx="42">
                  <c:v>133.999068477429</c:v>
                </c:pt>
                <c:pt idx="43">
                  <c:v>1148.74768982416</c:v>
                </c:pt>
                <c:pt idx="44">
                  <c:v>860.916649674891</c:v>
                </c:pt>
                <c:pt idx="45">
                  <c:v>138.199777974127</c:v>
                </c:pt>
                <c:pt idx="46">
                  <c:v>528.662420382166</c:v>
                </c:pt>
                <c:pt idx="47">
                  <c:v>568.725087233488</c:v>
                </c:pt>
                <c:pt idx="48">
                  <c:v>662.557781201849</c:v>
                </c:pt>
                <c:pt idx="49">
                  <c:v>522.97748514878</c:v>
                </c:pt>
                <c:pt idx="50">
                  <c:v>226.003722414252</c:v>
                </c:pt>
                <c:pt idx="51">
                  <c:v>552.192304769624</c:v>
                </c:pt>
                <c:pt idx="52">
                  <c:v>65.5574348686885</c:v>
                </c:pt>
                <c:pt idx="53">
                  <c:v>134.825987491628</c:v>
                </c:pt>
                <c:pt idx="54">
                  <c:v>53.4463331493316</c:v>
                </c:pt>
                <c:pt idx="55">
                  <c:v>771.5215021927</c:v>
                </c:pt>
                <c:pt idx="56">
                  <c:v>37.6332130210917</c:v>
                </c:pt>
                <c:pt idx="57">
                  <c:v>476.46598373209</c:v>
                </c:pt>
                <c:pt idx="58">
                  <c:v>224.387981779696</c:v>
                </c:pt>
                <c:pt idx="59">
                  <c:v>894.19844051792</c:v>
                </c:pt>
                <c:pt idx="60">
                  <c:v>69.0089307655279</c:v>
                </c:pt>
                <c:pt idx="61">
                  <c:v>35.3073613507079</c:v>
                </c:pt>
                <c:pt idx="62">
                  <c:v>335.497835497836</c:v>
                </c:pt>
                <c:pt idx="63">
                  <c:v>769.230769230769</c:v>
                </c:pt>
                <c:pt idx="64">
                  <c:v>194.137678622577</c:v>
                </c:pt>
                <c:pt idx="65">
                  <c:v>92.7590591870259</c:v>
                </c:pt>
                <c:pt idx="66">
                  <c:v>1209.83625007034</c:v>
                </c:pt>
                <c:pt idx="67">
                  <c:v>75.3082933258025</c:v>
                </c:pt>
                <c:pt idx="68">
                  <c:v>36.320257668555</c:v>
                </c:pt>
                <c:pt idx="69">
                  <c:v>17.3152347729096</c:v>
                </c:pt>
                <c:pt idx="70">
                  <c:v>63.5413724936459</c:v>
                </c:pt>
                <c:pt idx="71">
                  <c:v>44.1543402466811</c:v>
                </c:pt>
                <c:pt idx="72">
                  <c:v>494.210674950579</c:v>
                </c:pt>
                <c:pt idx="73">
                  <c:v>111.404824069855</c:v>
                </c:pt>
              </c:numCache>
            </c:numRef>
          </c:yVal>
          <c:smooth val="0"/>
        </c:ser>
        <c:ser>
          <c:idx val="2"/>
          <c:order val="2"/>
          <c:tx>
            <c:strRef>
              <c:f>'2026 transactions'!$A$1</c:f>
              <c:strCache>
                <c:ptCount val="1"/>
                <c:pt idx="0">
                  <c:v>Date of transaction</c:v>
                </c:pt>
              </c:strCache>
            </c:strRef>
          </c:tx>
          <c:spPr>
            <a:solidFill>
              <a:srgbClr val="d97706"/>
            </a:solidFill>
            <a:ln w="12600">
              <a:noFill/>
            </a:ln>
          </c:spPr>
          <c:marker>
            <c:symbol val="circle"/>
            <c:size val="6"/>
            <c:spPr>
              <a:solidFill>
                <a:srgbClr val="d97706"/>
              </a:solidFill>
            </c:spPr>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noFill/>
                </a:ln>
              </c:spPr>
            </c:leaderLines>
            <c:extLst>
              <c:ext xmlns:c15="http://schemas.microsoft.com/office/drawing/2012/chart" uri="{CE6537A1-D6FC-4f65-9D91-7224C49458BB}">
                <c15:showLeaderLines val="1"/>
              </c:ext>
            </c:extLst>
          </c:dLbls>
          <c:xVal>
            <c:numRef>
              <c:f>Plot!$E$49:$E$130</c:f>
              <c:numCache>
                <c:formatCode>yyyy\-mm\-dd</c:formatCode>
                <c:ptCount val="82"/>
                <c:pt idx="0">
                  <c:v>46028</c:v>
                </c:pt>
                <c:pt idx="1">
                  <c:v>46028</c:v>
                </c:pt>
                <c:pt idx="2">
                  <c:v>46031</c:v>
                </c:pt>
                <c:pt idx="3">
                  <c:v>46035</c:v>
                </c:pt>
                <c:pt idx="4">
                  <c:v>46043</c:v>
                </c:pt>
                <c:pt idx="5">
                  <c:v>46043</c:v>
                </c:pt>
                <c:pt idx="6">
                  <c:v>46048</c:v>
                </c:pt>
                <c:pt idx="7">
                  <c:v>46050</c:v>
                </c:pt>
                <c:pt idx="8">
                  <c:v>46051</c:v>
                </c:pt>
                <c:pt idx="9">
                  <c:v>46055</c:v>
                </c:pt>
                <c:pt idx="10">
                  <c:v>46077</c:v>
                </c:pt>
                <c:pt idx="11">
                  <c:v>46078</c:v>
                </c:pt>
                <c:pt idx="12">
                  <c:v>46079</c:v>
                </c:pt>
                <c:pt idx="13">
                  <c:v>46080</c:v>
                </c:pt>
                <c:pt idx="14">
                  <c:v>46086</c:v>
                </c:pt>
                <c:pt idx="15">
                  <c:v>46090</c:v>
                </c:pt>
                <c:pt idx="16">
                  <c:v>46097</c:v>
                </c:pt>
                <c:pt idx="17">
                  <c:v>46098</c:v>
                </c:pt>
                <c:pt idx="18">
                  <c:v>46107</c:v>
                </c:pt>
                <c:pt idx="19">
                  <c:v>46107</c:v>
                </c:pt>
                <c:pt idx="20">
                  <c:v>46107</c:v>
                </c:pt>
                <c:pt idx="21">
                  <c:v>46107</c:v>
                </c:pt>
                <c:pt idx="22">
                  <c:v>46112</c:v>
                </c:pt>
                <c:pt idx="23">
                  <c:v>46118</c:v>
                </c:pt>
                <c:pt idx="24">
                  <c:v>46118</c:v>
                </c:pt>
                <c:pt idx="25">
                  <c:v>46128</c:v>
                </c:pt>
                <c:pt idx="26">
                  <c:v>46128</c:v>
                </c:pt>
                <c:pt idx="27">
                  <c:v>46128</c:v>
                </c:pt>
                <c:pt idx="28">
                  <c:v>46128</c:v>
                </c:pt>
                <c:pt idx="29">
                  <c:v>46129</c:v>
                </c:pt>
                <c:pt idx="30">
                  <c:v>46133</c:v>
                </c:pt>
                <c:pt idx="31">
                  <c:v>46135</c:v>
                </c:pt>
                <c:pt idx="32">
                  <c:v>46136</c:v>
                </c:pt>
                <c:pt idx="33">
                  <c:v>46136</c:v>
                </c:pt>
                <c:pt idx="34">
                  <c:v>46139</c:v>
                </c:pt>
                <c:pt idx="35">
                  <c:v>46140</c:v>
                </c:pt>
                <c:pt idx="36">
                  <c:v>46147</c:v>
                </c:pt>
                <c:pt idx="37">
                  <c:v>46149</c:v>
                </c:pt>
                <c:pt idx="38">
                  <c:v>46154</c:v>
                </c:pt>
                <c:pt idx="39">
                  <c:v>46156</c:v>
                </c:pt>
                <c:pt idx="40">
                  <c:v>46160</c:v>
                </c:pt>
                <c:pt idx="41">
                  <c:v>46160</c:v>
                </c:pt>
                <c:pt idx="42">
                  <c:v>46160</c:v>
                </c:pt>
                <c:pt idx="43">
                  <c:v>46168</c:v>
                </c:pt>
                <c:pt idx="44">
                  <c:v>46171</c:v>
                </c:pt>
                <c:pt idx="45">
                  <c:v>46175</c:v>
                </c:pt>
                <c:pt idx="46">
                  <c:v>46176</c:v>
                </c:pt>
                <c:pt idx="47">
                  <c:v>46177</c:v>
                </c:pt>
                <c:pt idx="48">
                  <c:v>46178</c:v>
                </c:pt>
                <c:pt idx="49">
                  <c:v>46182</c:v>
                </c:pt>
                <c:pt idx="50">
                  <c:v>46183</c:v>
                </c:pt>
                <c:pt idx="51">
                  <c:v>46185</c:v>
                </c:pt>
                <c:pt idx="52">
                  <c:v>46191</c:v>
                </c:pt>
                <c:pt idx="53">
                  <c:v>46202</c:v>
                </c:pt>
                <c:pt idx="54">
                  <c:v>46202</c:v>
                </c:pt>
                <c:pt idx="55">
                  <c:v>46203</c:v>
                </c:pt>
                <c:pt idx="56">
                  <c:v>46205</c:v>
                </c:pt>
                <c:pt idx="57">
                  <c:v>46213</c:v>
                </c:pt>
                <c:pt idx="58">
                  <c:v>46219</c:v>
                </c:pt>
                <c:pt idx="59">
                  <c:v>46223</c:v>
                </c:pt>
                <c:pt idx="60">
                  <c:v>46224</c:v>
                </c:pt>
                <c:pt idx="61">
                  <c:v>46231</c:v>
                </c:pt>
                <c:pt idx="62">
                  <c:v>46234</c:v>
                </c:pt>
                <c:pt idx="63">
                  <c:v>46234</c:v>
                </c:pt>
                <c:pt idx="64">
                  <c:v>46244</c:v>
                </c:pt>
                <c:pt idx="65">
                  <c:v>46244</c:v>
                </c:pt>
                <c:pt idx="66">
                  <c:v>46245</c:v>
                </c:pt>
                <c:pt idx="67">
                  <c:v>46246</c:v>
                </c:pt>
                <c:pt idx="68">
                  <c:v>46246</c:v>
                </c:pt>
                <c:pt idx="69">
                  <c:v>46246</c:v>
                </c:pt>
                <c:pt idx="70">
                  <c:v>46247</c:v>
                </c:pt>
                <c:pt idx="71">
                  <c:v>46247</c:v>
                </c:pt>
                <c:pt idx="72">
                  <c:v>46251</c:v>
                </c:pt>
                <c:pt idx="73">
                  <c:v>46254</c:v>
                </c:pt>
                <c:pt idx="74">
                  <c:v>46255</c:v>
                </c:pt>
                <c:pt idx="75">
                  <c:v>46259</c:v>
                </c:pt>
                <c:pt idx="76">
                  <c:v>46261</c:v>
                </c:pt>
                <c:pt idx="77">
                  <c:v>46262</c:v>
                </c:pt>
                <c:pt idx="78">
                  <c:v>46273</c:v>
                </c:pt>
                <c:pt idx="79">
                  <c:v>46279</c:v>
                </c:pt>
                <c:pt idx="80">
                  <c:v>46288</c:v>
                </c:pt>
                <c:pt idx="81">
                  <c:v>46295</c:v>
                </c:pt>
              </c:numCache>
            </c:numRef>
          </c:xVal>
          <c:yVal>
            <c:numRef>
              <c:f>Plot!$F$49:$F$130</c:f>
              <c:numCache>
                <c:formatCode>\$#,##0.00</c:formatCode>
                <c:ptCount val="82"/>
                <c:pt idx="0">
                  <c:v>723.684210526316</c:v>
                </c:pt>
                <c:pt idx="1">
                  <c:v>272.209849047266</c:v>
                </c:pt>
                <c:pt idx="2">
                  <c:v>210.283479819511</c:v>
                </c:pt>
                <c:pt idx="3">
                  <c:v>497.415906725698</c:v>
                </c:pt>
                <c:pt idx="4">
                  <c:v>973.520249221184</c:v>
                </c:pt>
                <c:pt idx="5">
                  <c:v>248.911014312383</c:v>
                </c:pt>
                <c:pt idx="6">
                  <c:v>487.008695176638</c:v>
                </c:pt>
                <c:pt idx="7">
                  <c:v>916.95529996079</c:v>
                </c:pt>
                <c:pt idx="8">
                  <c:v>1411.96013289037</c:v>
                </c:pt>
                <c:pt idx="9">
                  <c:v>595.817307692308</c:v>
                </c:pt>
                <c:pt idx="10">
                  <c:v>2147.88461538462</c:v>
                </c:pt>
                <c:pt idx="11">
                  <c:v>294.117647058824</c:v>
                </c:pt>
                <c:pt idx="12">
                  <c:v>168.666066479663</c:v>
                </c:pt>
                <c:pt idx="13">
                  <c:v>1067.64253981559</c:v>
                </c:pt>
                <c:pt idx="14">
                  <c:v>513.550896317498</c:v>
                </c:pt>
                <c:pt idx="15">
                  <c:v>1354.89100580141</c:v>
                </c:pt>
                <c:pt idx="16">
                  <c:v>260.681000276829</c:v>
                </c:pt>
                <c:pt idx="17">
                  <c:v>5403.22580645161</c:v>
                </c:pt>
                <c:pt idx="18">
                  <c:v>406.346749226006</c:v>
                </c:pt>
                <c:pt idx="19">
                  <c:v>548.833327984081</c:v>
                </c:pt>
                <c:pt idx="20">
                  <c:v>419.230769230769</c:v>
                </c:pt>
                <c:pt idx="21">
                  <c:v>678.571428571429</c:v>
                </c:pt>
                <c:pt idx="22">
                  <c:v>478.145262863274</c:v>
                </c:pt>
                <c:pt idx="23">
                  <c:v>1294.60432725217</c:v>
                </c:pt>
                <c:pt idx="24">
                  <c:v>517.841730900866</c:v>
                </c:pt>
                <c:pt idx="25">
                  <c:v>117.044311912451</c:v>
                </c:pt>
                <c:pt idx="26">
                  <c:v>107.151161488743</c:v>
                </c:pt>
                <c:pt idx="27">
                  <c:v>111.9945036281</c:v>
                </c:pt>
                <c:pt idx="28">
                  <c:v>94.7656818181818</c:v>
                </c:pt>
                <c:pt idx="29">
                  <c:v>298.656047784968</c:v>
                </c:pt>
                <c:pt idx="30">
                  <c:v>115.748011015116</c:v>
                </c:pt>
                <c:pt idx="31">
                  <c:v>96.5913535387972</c:v>
                </c:pt>
                <c:pt idx="32">
                  <c:v>767.400067997474</c:v>
                </c:pt>
                <c:pt idx="33">
                  <c:v>150.565836126087</c:v>
                </c:pt>
                <c:pt idx="34">
                  <c:v>62.8981210688674</c:v>
                </c:pt>
                <c:pt idx="35">
                  <c:v>704.588063206906</c:v>
                </c:pt>
                <c:pt idx="36">
                  <c:v>210.970464135021</c:v>
                </c:pt>
                <c:pt idx="37">
                  <c:v>476.45469458651</c:v>
                </c:pt>
                <c:pt idx="38">
                  <c:v>426.333531627999</c:v>
                </c:pt>
                <c:pt idx="39">
                  <c:v>534.992470476341</c:v>
                </c:pt>
                <c:pt idx="40">
                  <c:v>1204.9891737477</c:v>
                </c:pt>
                <c:pt idx="41">
                  <c:v>152.223762453199</c:v>
                </c:pt>
                <c:pt idx="42">
                  <c:v>204.545454545455</c:v>
                </c:pt>
                <c:pt idx="43">
                  <c:v>656.565656565657</c:v>
                </c:pt>
                <c:pt idx="44">
                  <c:v>1338.28354342946</c:v>
                </c:pt>
                <c:pt idx="45">
                  <c:v>368.459837877671</c:v>
                </c:pt>
                <c:pt idx="46">
                  <c:v>267.001555232558</c:v>
                </c:pt>
                <c:pt idx="47">
                  <c:v>64.8016472867016</c:v>
                </c:pt>
                <c:pt idx="48">
                  <c:v>187.367471788247</c:v>
                </c:pt>
                <c:pt idx="49">
                  <c:v>301.381331100879</c:v>
                </c:pt>
                <c:pt idx="50">
                  <c:v>412.765957446809</c:v>
                </c:pt>
                <c:pt idx="51">
                  <c:v>874.814101426524</c:v>
                </c:pt>
                <c:pt idx="52">
                  <c:v>329.312063684794</c:v>
                </c:pt>
                <c:pt idx="53">
                  <c:v>188.984573475258</c:v>
                </c:pt>
                <c:pt idx="54">
                  <c:v>207</c:v>
                </c:pt>
                <c:pt idx="55">
                  <c:v>6399.31740614335</c:v>
                </c:pt>
                <c:pt idx="56">
                  <c:v>981.012658227848</c:v>
                </c:pt>
                <c:pt idx="57">
                  <c:v>324.540208823767</c:v>
                </c:pt>
                <c:pt idx="58">
                  <c:v>689.868865979381</c:v>
                </c:pt>
                <c:pt idx="59">
                  <c:v>334.367643911834</c:v>
                </c:pt>
                <c:pt idx="60">
                  <c:v>108.735655257787</c:v>
                </c:pt>
                <c:pt idx="61">
                  <c:v>396.209873212841</c:v>
                </c:pt>
                <c:pt idx="62">
                  <c:v>376.751727339393</c:v>
                </c:pt>
                <c:pt idx="63">
                  <c:v>311.340142940401</c:v>
                </c:pt>
                <c:pt idx="64">
                  <c:v>620.037420576735</c:v>
                </c:pt>
                <c:pt idx="65">
                  <c:v>485.665047783174</c:v>
                </c:pt>
                <c:pt idx="66">
                  <c:v>844.965233769172</c:v>
                </c:pt>
                <c:pt idx="67">
                  <c:v>68.0206342274076</c:v>
                </c:pt>
                <c:pt idx="68">
                  <c:v>108.994936151475</c:v>
                </c:pt>
                <c:pt idx="69">
                  <c:v>64.9462365591398</c:v>
                </c:pt>
                <c:pt idx="70">
                  <c:v>979.166666666667</c:v>
                </c:pt>
                <c:pt idx="71">
                  <c:v>669.287156060767</c:v>
                </c:pt>
                <c:pt idx="72">
                  <c:v>890.41095890411</c:v>
                </c:pt>
                <c:pt idx="73">
                  <c:v>324.825986078886</c:v>
                </c:pt>
                <c:pt idx="74">
                  <c:v>380.632026201646</c:v>
                </c:pt>
                <c:pt idx="75">
                  <c:v>879.169654136365</c:v>
                </c:pt>
                <c:pt idx="76">
                  <c:v>607.843137254902</c:v>
                </c:pt>
                <c:pt idx="77">
                  <c:v>432.0733368</c:v>
                </c:pt>
                <c:pt idx="78">
                  <c:v>439.664502164502</c:v>
                </c:pt>
                <c:pt idx="79">
                  <c:v>476.477683956574</c:v>
                </c:pt>
                <c:pt idx="80">
                  <c:v>1021.6894977169</c:v>
                </c:pt>
                <c:pt idx="81">
                  <c:v>591.723641597697</c:v>
                </c:pt>
              </c:numCache>
            </c:numRef>
          </c:yVal>
          <c:smooth val="0"/>
        </c:ser>
        <c:ser>
          <c:idx val="3"/>
          <c:order val="3"/>
          <c:tx>
            <c:strRef>
              <c:f>'2026 transactions'!$A$1</c:f>
              <c:strCache>
                <c:ptCount val="1"/>
                <c:pt idx="0">
                  <c:v>Date of transaction</c:v>
                </c:pt>
              </c:strCache>
            </c:strRef>
          </c:tx>
          <c:spPr>
            <a:solidFill>
              <a:srgbClr val="be123c"/>
            </a:solidFill>
            <a:ln w="12600">
              <a:noFill/>
            </a:ln>
          </c:spPr>
          <c:marker>
            <c:symbol val="circle"/>
            <c:size val="6"/>
            <c:spPr>
              <a:solidFill>
                <a:srgbClr val="be123c"/>
              </a:solidFill>
            </c:spPr>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noFill/>
                </a:ln>
              </c:spPr>
            </c:leaderLines>
            <c:extLst>
              <c:ext xmlns:c15="http://schemas.microsoft.com/office/drawing/2012/chart" uri="{CE6537A1-D6FC-4f65-9D91-7224C49458BB}">
                <c15:showLeaderLines val="1"/>
              </c:ext>
            </c:extLst>
          </c:dLbls>
          <c:xVal>
            <c:numRef>
              <c:f>Plot!$G$49:$G$256</c:f>
              <c:numCache>
                <c:formatCode>yyyy\-mm\-dd</c:formatCode>
                <c:ptCount val="208"/>
                <c:pt idx="0">
                  <c:v>46028</c:v>
                </c:pt>
                <c:pt idx="1">
                  <c:v>46029</c:v>
                </c:pt>
                <c:pt idx="2">
                  <c:v>46034</c:v>
                </c:pt>
                <c:pt idx="3">
                  <c:v>46035</c:v>
                </c:pt>
                <c:pt idx="4">
                  <c:v>46035</c:v>
                </c:pt>
                <c:pt idx="5">
                  <c:v>46037</c:v>
                </c:pt>
                <c:pt idx="6">
                  <c:v>46042</c:v>
                </c:pt>
                <c:pt idx="7">
                  <c:v>46043</c:v>
                </c:pt>
                <c:pt idx="8">
                  <c:v>46044</c:v>
                </c:pt>
                <c:pt idx="9">
                  <c:v>46044</c:v>
                </c:pt>
                <c:pt idx="10">
                  <c:v>46044</c:v>
                </c:pt>
                <c:pt idx="11">
                  <c:v>46049</c:v>
                </c:pt>
                <c:pt idx="12">
                  <c:v>46055</c:v>
                </c:pt>
                <c:pt idx="13">
                  <c:v>46058</c:v>
                </c:pt>
                <c:pt idx="14">
                  <c:v>46062</c:v>
                </c:pt>
                <c:pt idx="15">
                  <c:v>46063</c:v>
                </c:pt>
                <c:pt idx="16">
                  <c:v>46064</c:v>
                </c:pt>
                <c:pt idx="17">
                  <c:v>46064</c:v>
                </c:pt>
                <c:pt idx="18">
                  <c:v>46065</c:v>
                </c:pt>
                <c:pt idx="19">
                  <c:v>46066</c:v>
                </c:pt>
                <c:pt idx="20">
                  <c:v>46070</c:v>
                </c:pt>
                <c:pt idx="21">
                  <c:v>46070</c:v>
                </c:pt>
                <c:pt idx="22">
                  <c:v>46070</c:v>
                </c:pt>
                <c:pt idx="23">
                  <c:v>46070</c:v>
                </c:pt>
                <c:pt idx="24">
                  <c:v>46071</c:v>
                </c:pt>
                <c:pt idx="25">
                  <c:v>46071</c:v>
                </c:pt>
                <c:pt idx="26">
                  <c:v>46071</c:v>
                </c:pt>
                <c:pt idx="27">
                  <c:v>46071</c:v>
                </c:pt>
                <c:pt idx="28">
                  <c:v>46072</c:v>
                </c:pt>
                <c:pt idx="29">
                  <c:v>46073</c:v>
                </c:pt>
                <c:pt idx="30">
                  <c:v>46077</c:v>
                </c:pt>
                <c:pt idx="31">
                  <c:v>46078</c:v>
                </c:pt>
                <c:pt idx="32">
                  <c:v>46079</c:v>
                </c:pt>
                <c:pt idx="33">
                  <c:v>46079</c:v>
                </c:pt>
                <c:pt idx="34">
                  <c:v>46079</c:v>
                </c:pt>
                <c:pt idx="35">
                  <c:v>46079</c:v>
                </c:pt>
                <c:pt idx="36">
                  <c:v>46079</c:v>
                </c:pt>
                <c:pt idx="37">
                  <c:v>46079</c:v>
                </c:pt>
                <c:pt idx="38">
                  <c:v>46079</c:v>
                </c:pt>
                <c:pt idx="39">
                  <c:v>46080</c:v>
                </c:pt>
                <c:pt idx="40">
                  <c:v>46084</c:v>
                </c:pt>
                <c:pt idx="41">
                  <c:v>46085</c:v>
                </c:pt>
                <c:pt idx="42">
                  <c:v>46085</c:v>
                </c:pt>
                <c:pt idx="43">
                  <c:v>46085</c:v>
                </c:pt>
                <c:pt idx="44">
                  <c:v>46090</c:v>
                </c:pt>
                <c:pt idx="45">
                  <c:v>46090</c:v>
                </c:pt>
                <c:pt idx="46">
                  <c:v>46091</c:v>
                </c:pt>
                <c:pt idx="47">
                  <c:v>46094</c:v>
                </c:pt>
                <c:pt idx="48">
                  <c:v>46099</c:v>
                </c:pt>
                <c:pt idx="49">
                  <c:v>46100</c:v>
                </c:pt>
                <c:pt idx="50">
                  <c:v>46101</c:v>
                </c:pt>
                <c:pt idx="51">
                  <c:v>46101</c:v>
                </c:pt>
                <c:pt idx="52">
                  <c:v>46104</c:v>
                </c:pt>
                <c:pt idx="53">
                  <c:v>46104</c:v>
                </c:pt>
                <c:pt idx="54">
                  <c:v>46105</c:v>
                </c:pt>
                <c:pt idx="55">
                  <c:v>46105</c:v>
                </c:pt>
                <c:pt idx="56">
                  <c:v>46106</c:v>
                </c:pt>
                <c:pt idx="57">
                  <c:v>46106</c:v>
                </c:pt>
                <c:pt idx="58">
                  <c:v>46106</c:v>
                </c:pt>
                <c:pt idx="59">
                  <c:v>46106</c:v>
                </c:pt>
                <c:pt idx="60">
                  <c:v>46107</c:v>
                </c:pt>
                <c:pt idx="61">
                  <c:v>46108</c:v>
                </c:pt>
                <c:pt idx="62">
                  <c:v>46108</c:v>
                </c:pt>
                <c:pt idx="63">
                  <c:v>46111</c:v>
                </c:pt>
                <c:pt idx="64">
                  <c:v>46112</c:v>
                </c:pt>
                <c:pt idx="65">
                  <c:v>46113</c:v>
                </c:pt>
                <c:pt idx="66">
                  <c:v>46118</c:v>
                </c:pt>
                <c:pt idx="67">
                  <c:v>46119</c:v>
                </c:pt>
                <c:pt idx="68">
                  <c:v>46119</c:v>
                </c:pt>
                <c:pt idx="69">
                  <c:v>46120</c:v>
                </c:pt>
                <c:pt idx="70">
                  <c:v>46121</c:v>
                </c:pt>
                <c:pt idx="71">
                  <c:v>46122</c:v>
                </c:pt>
                <c:pt idx="72">
                  <c:v>46126</c:v>
                </c:pt>
                <c:pt idx="73">
                  <c:v>46127</c:v>
                </c:pt>
                <c:pt idx="74">
                  <c:v>46127</c:v>
                </c:pt>
                <c:pt idx="75">
                  <c:v>46132</c:v>
                </c:pt>
                <c:pt idx="76">
                  <c:v>46135</c:v>
                </c:pt>
                <c:pt idx="77">
                  <c:v>46136</c:v>
                </c:pt>
                <c:pt idx="78">
                  <c:v>46140</c:v>
                </c:pt>
                <c:pt idx="79">
                  <c:v>46140</c:v>
                </c:pt>
                <c:pt idx="80">
                  <c:v>46141</c:v>
                </c:pt>
                <c:pt idx="81">
                  <c:v>46148</c:v>
                </c:pt>
                <c:pt idx="82">
                  <c:v>46148</c:v>
                </c:pt>
                <c:pt idx="83">
                  <c:v>46148</c:v>
                </c:pt>
                <c:pt idx="84">
                  <c:v>46154</c:v>
                </c:pt>
                <c:pt idx="85">
                  <c:v>46155</c:v>
                </c:pt>
                <c:pt idx="86">
                  <c:v>46156</c:v>
                </c:pt>
                <c:pt idx="87">
                  <c:v>46160</c:v>
                </c:pt>
                <c:pt idx="88">
                  <c:v>46160</c:v>
                </c:pt>
                <c:pt idx="89">
                  <c:v>46160</c:v>
                </c:pt>
                <c:pt idx="90">
                  <c:v>46161</c:v>
                </c:pt>
                <c:pt idx="91">
                  <c:v>46161</c:v>
                </c:pt>
                <c:pt idx="92">
                  <c:v>46162</c:v>
                </c:pt>
                <c:pt idx="93">
                  <c:v>46168</c:v>
                </c:pt>
                <c:pt idx="94">
                  <c:v>46168</c:v>
                </c:pt>
                <c:pt idx="95">
                  <c:v>46168</c:v>
                </c:pt>
                <c:pt idx="96">
                  <c:v>46169</c:v>
                </c:pt>
                <c:pt idx="97">
                  <c:v>46170</c:v>
                </c:pt>
                <c:pt idx="98">
                  <c:v>46170</c:v>
                </c:pt>
                <c:pt idx="99">
                  <c:v>46176</c:v>
                </c:pt>
                <c:pt idx="100">
                  <c:v>46176</c:v>
                </c:pt>
                <c:pt idx="101">
                  <c:v>46177</c:v>
                </c:pt>
                <c:pt idx="102">
                  <c:v>46177</c:v>
                </c:pt>
                <c:pt idx="103">
                  <c:v>46178</c:v>
                </c:pt>
                <c:pt idx="104">
                  <c:v>46178</c:v>
                </c:pt>
                <c:pt idx="105">
                  <c:v>46178</c:v>
                </c:pt>
                <c:pt idx="106">
                  <c:v>46182</c:v>
                </c:pt>
                <c:pt idx="107">
                  <c:v>46182</c:v>
                </c:pt>
                <c:pt idx="108">
                  <c:v>46183</c:v>
                </c:pt>
                <c:pt idx="109">
                  <c:v>46184</c:v>
                </c:pt>
                <c:pt idx="110">
                  <c:v>46185</c:v>
                </c:pt>
                <c:pt idx="111">
                  <c:v>46185</c:v>
                </c:pt>
                <c:pt idx="112">
                  <c:v>46185</c:v>
                </c:pt>
                <c:pt idx="113">
                  <c:v>46190</c:v>
                </c:pt>
                <c:pt idx="114">
                  <c:v>46190</c:v>
                </c:pt>
                <c:pt idx="115">
                  <c:v>46191</c:v>
                </c:pt>
                <c:pt idx="116">
                  <c:v>46191</c:v>
                </c:pt>
                <c:pt idx="117">
                  <c:v>46195</c:v>
                </c:pt>
                <c:pt idx="118">
                  <c:v>46196</c:v>
                </c:pt>
                <c:pt idx="119">
                  <c:v>46197</c:v>
                </c:pt>
                <c:pt idx="120">
                  <c:v>46197</c:v>
                </c:pt>
                <c:pt idx="121">
                  <c:v>46198</c:v>
                </c:pt>
                <c:pt idx="122">
                  <c:v>46199</c:v>
                </c:pt>
                <c:pt idx="123">
                  <c:v>46202</c:v>
                </c:pt>
                <c:pt idx="124">
                  <c:v>46202</c:v>
                </c:pt>
                <c:pt idx="125">
                  <c:v>46202</c:v>
                </c:pt>
                <c:pt idx="126">
                  <c:v>46202</c:v>
                </c:pt>
                <c:pt idx="127">
                  <c:v>46202</c:v>
                </c:pt>
                <c:pt idx="128">
                  <c:v>46203</c:v>
                </c:pt>
                <c:pt idx="129">
                  <c:v>46203</c:v>
                </c:pt>
                <c:pt idx="130">
                  <c:v>46205</c:v>
                </c:pt>
                <c:pt idx="131">
                  <c:v>46209</c:v>
                </c:pt>
                <c:pt idx="132">
                  <c:v>46210</c:v>
                </c:pt>
                <c:pt idx="133">
                  <c:v>46211</c:v>
                </c:pt>
                <c:pt idx="134">
                  <c:v>46212</c:v>
                </c:pt>
                <c:pt idx="135">
                  <c:v>46213</c:v>
                </c:pt>
                <c:pt idx="136">
                  <c:v>46213</c:v>
                </c:pt>
                <c:pt idx="137">
                  <c:v>46213</c:v>
                </c:pt>
                <c:pt idx="138">
                  <c:v>46216</c:v>
                </c:pt>
                <c:pt idx="139">
                  <c:v>46216</c:v>
                </c:pt>
                <c:pt idx="140">
                  <c:v>46217</c:v>
                </c:pt>
                <c:pt idx="141">
                  <c:v>46217</c:v>
                </c:pt>
                <c:pt idx="142">
                  <c:v>46217</c:v>
                </c:pt>
                <c:pt idx="143">
                  <c:v>46220</c:v>
                </c:pt>
                <c:pt idx="144">
                  <c:v>46220</c:v>
                </c:pt>
                <c:pt idx="145">
                  <c:v>46224</c:v>
                </c:pt>
                <c:pt idx="146">
                  <c:v>46230</c:v>
                </c:pt>
                <c:pt idx="147">
                  <c:v>46231</c:v>
                </c:pt>
                <c:pt idx="148">
                  <c:v>46231</c:v>
                </c:pt>
                <c:pt idx="149">
                  <c:v>46231</c:v>
                </c:pt>
                <c:pt idx="150">
                  <c:v>46232</c:v>
                </c:pt>
                <c:pt idx="151">
                  <c:v>46234</c:v>
                </c:pt>
                <c:pt idx="152">
                  <c:v>46237</c:v>
                </c:pt>
                <c:pt idx="153">
                  <c:v>46237</c:v>
                </c:pt>
                <c:pt idx="154">
                  <c:v>46238</c:v>
                </c:pt>
                <c:pt idx="155">
                  <c:v>46239</c:v>
                </c:pt>
                <c:pt idx="156">
                  <c:v>46240</c:v>
                </c:pt>
                <c:pt idx="157">
                  <c:v>46240</c:v>
                </c:pt>
                <c:pt idx="158">
                  <c:v>46241</c:v>
                </c:pt>
                <c:pt idx="159">
                  <c:v>46244</c:v>
                </c:pt>
                <c:pt idx="160">
                  <c:v>46244</c:v>
                </c:pt>
                <c:pt idx="161">
                  <c:v>46245</c:v>
                </c:pt>
                <c:pt idx="162">
                  <c:v>46245</c:v>
                </c:pt>
                <c:pt idx="163">
                  <c:v>46245</c:v>
                </c:pt>
                <c:pt idx="164">
                  <c:v>46245</c:v>
                </c:pt>
                <c:pt idx="165">
                  <c:v>46245</c:v>
                </c:pt>
                <c:pt idx="166">
                  <c:v>46245</c:v>
                </c:pt>
                <c:pt idx="167">
                  <c:v>46248</c:v>
                </c:pt>
                <c:pt idx="168">
                  <c:v>46253</c:v>
                </c:pt>
                <c:pt idx="169">
                  <c:v>46258</c:v>
                </c:pt>
                <c:pt idx="170">
                  <c:v>46260</c:v>
                </c:pt>
                <c:pt idx="171">
                  <c:v>46260</c:v>
                </c:pt>
                <c:pt idx="172">
                  <c:v>46261</c:v>
                </c:pt>
                <c:pt idx="173">
                  <c:v>46261</c:v>
                </c:pt>
                <c:pt idx="174">
                  <c:v>46261</c:v>
                </c:pt>
                <c:pt idx="175">
                  <c:v>46261</c:v>
                </c:pt>
                <c:pt idx="176">
                  <c:v>46262</c:v>
                </c:pt>
                <c:pt idx="177">
                  <c:v>46266</c:v>
                </c:pt>
                <c:pt idx="178">
                  <c:v>46268</c:v>
                </c:pt>
                <c:pt idx="179">
                  <c:v>46268</c:v>
                </c:pt>
                <c:pt idx="180">
                  <c:v>46268</c:v>
                </c:pt>
                <c:pt idx="181">
                  <c:v>46268</c:v>
                </c:pt>
                <c:pt idx="182">
                  <c:v>46268</c:v>
                </c:pt>
                <c:pt idx="183">
                  <c:v>46268</c:v>
                </c:pt>
                <c:pt idx="184">
                  <c:v>46268</c:v>
                </c:pt>
                <c:pt idx="185">
                  <c:v>46269</c:v>
                </c:pt>
                <c:pt idx="186">
                  <c:v>46273</c:v>
                </c:pt>
                <c:pt idx="187">
                  <c:v>46273</c:v>
                </c:pt>
                <c:pt idx="188">
                  <c:v>46274</c:v>
                </c:pt>
                <c:pt idx="189">
                  <c:v>46275</c:v>
                </c:pt>
                <c:pt idx="190">
                  <c:v>46275</c:v>
                </c:pt>
                <c:pt idx="191">
                  <c:v>46276</c:v>
                </c:pt>
                <c:pt idx="192">
                  <c:v>46276</c:v>
                </c:pt>
                <c:pt idx="193">
                  <c:v>46276</c:v>
                </c:pt>
                <c:pt idx="194">
                  <c:v>46279</c:v>
                </c:pt>
                <c:pt idx="195">
                  <c:v>46282</c:v>
                </c:pt>
                <c:pt idx="196">
                  <c:v>46282</c:v>
                </c:pt>
                <c:pt idx="197">
                  <c:v>46282</c:v>
                </c:pt>
                <c:pt idx="198">
                  <c:v>46282</c:v>
                </c:pt>
                <c:pt idx="199">
                  <c:v>46282</c:v>
                </c:pt>
                <c:pt idx="200">
                  <c:v>46282</c:v>
                </c:pt>
                <c:pt idx="201">
                  <c:v>46282</c:v>
                </c:pt>
                <c:pt idx="202">
                  <c:v>46282</c:v>
                </c:pt>
                <c:pt idx="203">
                  <c:v>46283</c:v>
                </c:pt>
                <c:pt idx="204">
                  <c:v>46287</c:v>
                </c:pt>
                <c:pt idx="205">
                  <c:v>46289</c:v>
                </c:pt>
                <c:pt idx="206">
                  <c:v>46294</c:v>
                </c:pt>
                <c:pt idx="207">
                  <c:v>46295</c:v>
                </c:pt>
              </c:numCache>
            </c:numRef>
          </c:xVal>
          <c:yVal>
            <c:numRef>
              <c:f>Plot!$H$49:$H$256</c:f>
              <c:numCache>
                <c:formatCode>\$#,##0.00</c:formatCode>
                <c:ptCount val="208"/>
                <c:pt idx="0">
                  <c:v>243.926581634096</c:v>
                </c:pt>
                <c:pt idx="1">
                  <c:v>920.030375606052</c:v>
                </c:pt>
                <c:pt idx="2">
                  <c:v>1897.60114572145</c:v>
                </c:pt>
                <c:pt idx="3">
                  <c:v>151.332608504011</c:v>
                </c:pt>
                <c:pt idx="4">
                  <c:v>127.748691099476</c:v>
                </c:pt>
                <c:pt idx="5">
                  <c:v>837.512014653343</c:v>
                </c:pt>
                <c:pt idx="6">
                  <c:v>1481.48148148148</c:v>
                </c:pt>
                <c:pt idx="7">
                  <c:v>263.63486571099</c:v>
                </c:pt>
                <c:pt idx="8">
                  <c:v>525.997417509287</c:v>
                </c:pt>
                <c:pt idx="9">
                  <c:v>2710.41369472183</c:v>
                </c:pt>
                <c:pt idx="10">
                  <c:v>188.976377952756</c:v>
                </c:pt>
                <c:pt idx="11">
                  <c:v>262.307204204909</c:v>
                </c:pt>
                <c:pt idx="12">
                  <c:v>1316.34561920809</c:v>
                </c:pt>
                <c:pt idx="13">
                  <c:v>245.859980120403</c:v>
                </c:pt>
                <c:pt idx="14">
                  <c:v>418.282658477504</c:v>
                </c:pt>
                <c:pt idx="15">
                  <c:v>98.4201111655156</c:v>
                </c:pt>
                <c:pt idx="16">
                  <c:v>801.666666666667</c:v>
                </c:pt>
                <c:pt idx="17">
                  <c:v>557.553956834532</c:v>
                </c:pt>
                <c:pt idx="18">
                  <c:v>109.347442680776</c:v>
                </c:pt>
                <c:pt idx="19">
                  <c:v>199.308062575211</c:v>
                </c:pt>
                <c:pt idx="20">
                  <c:v>998.968348945653</c:v>
                </c:pt>
                <c:pt idx="21">
                  <c:v>3629.09486104642</c:v>
                </c:pt>
                <c:pt idx="22">
                  <c:v>232.085871772556</c:v>
                </c:pt>
                <c:pt idx="23">
                  <c:v>306.666666666667</c:v>
                </c:pt>
                <c:pt idx="24">
                  <c:v>566.051610734737</c:v>
                </c:pt>
                <c:pt idx="25">
                  <c:v>387.596899224806</c:v>
                </c:pt>
                <c:pt idx="26">
                  <c:v>265.603713308644</c:v>
                </c:pt>
                <c:pt idx="27">
                  <c:v>780.891134588884</c:v>
                </c:pt>
                <c:pt idx="28">
                  <c:v>2193.73219373219</c:v>
                </c:pt>
                <c:pt idx="29">
                  <c:v>562.5</c:v>
                </c:pt>
                <c:pt idx="30">
                  <c:v>251.690846197532</c:v>
                </c:pt>
                <c:pt idx="31">
                  <c:v>949.266954962557</c:v>
                </c:pt>
                <c:pt idx="32">
                  <c:v>4454.52336599984</c:v>
                </c:pt>
                <c:pt idx="33">
                  <c:v>336.261031907671</c:v>
                </c:pt>
                <c:pt idx="34">
                  <c:v>2315.19761865388</c:v>
                </c:pt>
                <c:pt idx="35">
                  <c:v>77.8023172739325</c:v>
                </c:pt>
                <c:pt idx="36">
                  <c:v>291.293471513895</c:v>
                </c:pt>
                <c:pt idx="37">
                  <c:v>166.914482262854</c:v>
                </c:pt>
                <c:pt idx="38">
                  <c:v>238.715725811859</c:v>
                </c:pt>
                <c:pt idx="39">
                  <c:v>1915.32258064516</c:v>
                </c:pt>
                <c:pt idx="40">
                  <c:v>8232.62839879154</c:v>
                </c:pt>
                <c:pt idx="41">
                  <c:v>1692.86577992745</c:v>
                </c:pt>
                <c:pt idx="42">
                  <c:v>72.3684210526316</c:v>
                </c:pt>
                <c:pt idx="43">
                  <c:v>64.6130728775357</c:v>
                </c:pt>
                <c:pt idx="44">
                  <c:v>1045.22593772795</c:v>
                </c:pt>
                <c:pt idx="45">
                  <c:v>1176.47058823529</c:v>
                </c:pt>
                <c:pt idx="46">
                  <c:v>717.948717948718</c:v>
                </c:pt>
                <c:pt idx="47">
                  <c:v>3008.62760834671</c:v>
                </c:pt>
                <c:pt idx="48">
                  <c:v>216.907976790846</c:v>
                </c:pt>
                <c:pt idx="49">
                  <c:v>358.910891089109</c:v>
                </c:pt>
                <c:pt idx="50">
                  <c:v>3998.4006397441</c:v>
                </c:pt>
                <c:pt idx="51">
                  <c:v>780.705423114457</c:v>
                </c:pt>
                <c:pt idx="52">
                  <c:v>316.811273412353</c:v>
                </c:pt>
                <c:pt idx="53">
                  <c:v>1969.69696969697</c:v>
                </c:pt>
                <c:pt idx="54">
                  <c:v>955.223880597015</c:v>
                </c:pt>
                <c:pt idx="55">
                  <c:v>547.536087605774</c:v>
                </c:pt>
                <c:pt idx="56">
                  <c:v>552.646887725422</c:v>
                </c:pt>
                <c:pt idx="57">
                  <c:v>357.351225204201</c:v>
                </c:pt>
                <c:pt idx="58">
                  <c:v>448.217675595866</c:v>
                </c:pt>
                <c:pt idx="59">
                  <c:v>412.224951155975</c:v>
                </c:pt>
                <c:pt idx="60">
                  <c:v>651.170691656522</c:v>
                </c:pt>
                <c:pt idx="61">
                  <c:v>1093.02325581395</c:v>
                </c:pt>
                <c:pt idx="62">
                  <c:v>1032.53110340608</c:v>
                </c:pt>
                <c:pt idx="63">
                  <c:v>843.373493975904</c:v>
                </c:pt>
                <c:pt idx="64">
                  <c:v>3113.71841155235</c:v>
                </c:pt>
                <c:pt idx="65">
                  <c:v>808.563067919298</c:v>
                </c:pt>
                <c:pt idx="66">
                  <c:v>1024.14322832704</c:v>
                </c:pt>
                <c:pt idx="67">
                  <c:v>245.562983835817</c:v>
                </c:pt>
                <c:pt idx="68">
                  <c:v>73.6510804613504</c:v>
                </c:pt>
                <c:pt idx="69">
                  <c:v>35.1909579353622</c:v>
                </c:pt>
                <c:pt idx="70">
                  <c:v>3646.54002713704</c:v>
                </c:pt>
                <c:pt idx="71">
                  <c:v>937.5</c:v>
                </c:pt>
                <c:pt idx="72">
                  <c:v>103.030808206958</c:v>
                </c:pt>
                <c:pt idx="73">
                  <c:v>132.414483859649</c:v>
                </c:pt>
                <c:pt idx="74">
                  <c:v>104.286961294118</c:v>
                </c:pt>
                <c:pt idx="75">
                  <c:v>59.1378134736842</c:v>
                </c:pt>
                <c:pt idx="76">
                  <c:v>154.224100062933</c:v>
                </c:pt>
                <c:pt idx="77">
                  <c:v>158.057590300581</c:v>
                </c:pt>
                <c:pt idx="78">
                  <c:v>2738.69818045395</c:v>
                </c:pt>
                <c:pt idx="79">
                  <c:v>2045.92901878914</c:v>
                </c:pt>
                <c:pt idx="80">
                  <c:v>250.290631187789</c:v>
                </c:pt>
                <c:pt idx="81">
                  <c:v>218.28680385667</c:v>
                </c:pt>
                <c:pt idx="82">
                  <c:v>2640.84507042254</c:v>
                </c:pt>
                <c:pt idx="83">
                  <c:v>1462.91510216024</c:v>
                </c:pt>
                <c:pt idx="84">
                  <c:v>1174.07370421053</c:v>
                </c:pt>
                <c:pt idx="85">
                  <c:v>54.8591510321545</c:v>
                </c:pt>
                <c:pt idx="86">
                  <c:v>349.355148621503</c:v>
                </c:pt>
                <c:pt idx="87">
                  <c:v>4473.34394270937</c:v>
                </c:pt>
                <c:pt idx="88">
                  <c:v>4052.00223410636</c:v>
                </c:pt>
                <c:pt idx="89">
                  <c:v>62.8861788617886</c:v>
                </c:pt>
                <c:pt idx="90">
                  <c:v>459.046494852121</c:v>
                </c:pt>
                <c:pt idx="91">
                  <c:v>455.647115850703</c:v>
                </c:pt>
                <c:pt idx="92">
                  <c:v>394.304957585575</c:v>
                </c:pt>
                <c:pt idx="93">
                  <c:v>9012.48873438908</c:v>
                </c:pt>
                <c:pt idx="94">
                  <c:v>2297.0745776679</c:v>
                </c:pt>
                <c:pt idx="95">
                  <c:v>1787.87376362112</c:v>
                </c:pt>
                <c:pt idx="96">
                  <c:v>1424.50142450142</c:v>
                </c:pt>
                <c:pt idx="97">
                  <c:v>54.9756437021573</c:v>
                </c:pt>
                <c:pt idx="98">
                  <c:v>1390</c:v>
                </c:pt>
                <c:pt idx="99">
                  <c:v>892.453682783552</c:v>
                </c:pt>
                <c:pt idx="100">
                  <c:v>1327.33889959323</c:v>
                </c:pt>
                <c:pt idx="101">
                  <c:v>79.843385772353</c:v>
                </c:pt>
                <c:pt idx="102">
                  <c:v>1158.19209039548</c:v>
                </c:pt>
                <c:pt idx="103">
                  <c:v>497.434234901816</c:v>
                </c:pt>
                <c:pt idx="104">
                  <c:v>340.433023673959</c:v>
                </c:pt>
                <c:pt idx="105">
                  <c:v>35.3975794653544</c:v>
                </c:pt>
                <c:pt idx="106">
                  <c:v>631.201555280632</c:v>
                </c:pt>
                <c:pt idx="107">
                  <c:v>3242.14792299899</c:v>
                </c:pt>
                <c:pt idx="108">
                  <c:v>534.923757993114</c:v>
                </c:pt>
                <c:pt idx="109">
                  <c:v>190.856635596982</c:v>
                </c:pt>
                <c:pt idx="110">
                  <c:v>1062.23361172706</c:v>
                </c:pt>
                <c:pt idx="111">
                  <c:v>2208.5757379875</c:v>
                </c:pt>
                <c:pt idx="112">
                  <c:v>276.881983126486</c:v>
                </c:pt>
                <c:pt idx="113">
                  <c:v>277.524204702628</c:v>
                </c:pt>
                <c:pt idx="114">
                  <c:v>642.880102860817</c:v>
                </c:pt>
                <c:pt idx="115">
                  <c:v>319.085119146384</c:v>
                </c:pt>
                <c:pt idx="116">
                  <c:v>1116.84782608696</c:v>
                </c:pt>
                <c:pt idx="117">
                  <c:v>459.185625789225</c:v>
                </c:pt>
                <c:pt idx="118">
                  <c:v>349.635796045786</c:v>
                </c:pt>
                <c:pt idx="119">
                  <c:v>1182.34027279253</c:v>
                </c:pt>
                <c:pt idx="120">
                  <c:v>201.533896881823</c:v>
                </c:pt>
                <c:pt idx="121">
                  <c:v>393.004115226337</c:v>
                </c:pt>
                <c:pt idx="122">
                  <c:v>2500</c:v>
                </c:pt>
                <c:pt idx="123">
                  <c:v>618.429189857761</c:v>
                </c:pt>
                <c:pt idx="124">
                  <c:v>560.939885942223</c:v>
                </c:pt>
                <c:pt idx="125">
                  <c:v>5133.92857142857</c:v>
                </c:pt>
                <c:pt idx="126">
                  <c:v>279.794817134102</c:v>
                </c:pt>
                <c:pt idx="127">
                  <c:v>450.529008254854</c:v>
                </c:pt>
                <c:pt idx="128">
                  <c:v>446.511627906977</c:v>
                </c:pt>
                <c:pt idx="129">
                  <c:v>240.299823633157</c:v>
                </c:pt>
                <c:pt idx="130">
                  <c:v>191.093148355166</c:v>
                </c:pt>
                <c:pt idx="131">
                  <c:v>3698.11320754717</c:v>
                </c:pt>
                <c:pt idx="132">
                  <c:v>434.712234374639</c:v>
                </c:pt>
                <c:pt idx="133">
                  <c:v>54.9584396200814</c:v>
                </c:pt>
                <c:pt idx="134">
                  <c:v>972.432024169184</c:v>
                </c:pt>
                <c:pt idx="135">
                  <c:v>3268.68598823273</c:v>
                </c:pt>
                <c:pt idx="136">
                  <c:v>611.340206185567</c:v>
                </c:pt>
                <c:pt idx="137">
                  <c:v>97.4509393518519</c:v>
                </c:pt>
                <c:pt idx="138">
                  <c:v>1813.33333333333</c:v>
                </c:pt>
                <c:pt idx="139">
                  <c:v>138.69625520111</c:v>
                </c:pt>
                <c:pt idx="140">
                  <c:v>3412.96928327645</c:v>
                </c:pt>
                <c:pt idx="141">
                  <c:v>2425.59523809524</c:v>
                </c:pt>
                <c:pt idx="142">
                  <c:v>286.023500309215</c:v>
                </c:pt>
                <c:pt idx="143">
                  <c:v>546.269757938648</c:v>
                </c:pt>
                <c:pt idx="144">
                  <c:v>1485.46511627907</c:v>
                </c:pt>
                <c:pt idx="145">
                  <c:v>220</c:v>
                </c:pt>
                <c:pt idx="146">
                  <c:v>694.388804315894</c:v>
                </c:pt>
                <c:pt idx="147">
                  <c:v>192.460317460317</c:v>
                </c:pt>
                <c:pt idx="148">
                  <c:v>487.032752952636</c:v>
                </c:pt>
                <c:pt idx="149">
                  <c:v>144</c:v>
                </c:pt>
                <c:pt idx="150">
                  <c:v>1556.18199676008</c:v>
                </c:pt>
                <c:pt idx="151">
                  <c:v>794.146009416303</c:v>
                </c:pt>
                <c:pt idx="152">
                  <c:v>481.321341650703</c:v>
                </c:pt>
                <c:pt idx="153">
                  <c:v>212.974184486352</c:v>
                </c:pt>
                <c:pt idx="154">
                  <c:v>3388.15789473684</c:v>
                </c:pt>
                <c:pt idx="155">
                  <c:v>441.718062403719</c:v>
                </c:pt>
                <c:pt idx="156">
                  <c:v>1541.19114126097</c:v>
                </c:pt>
                <c:pt idx="157">
                  <c:v>235.752357523575</c:v>
                </c:pt>
                <c:pt idx="158">
                  <c:v>574.672028707501</c:v>
                </c:pt>
                <c:pt idx="159">
                  <c:v>689.655172413793</c:v>
                </c:pt>
                <c:pt idx="160">
                  <c:v>536.166573467978</c:v>
                </c:pt>
                <c:pt idx="161">
                  <c:v>137.640486999179</c:v>
                </c:pt>
                <c:pt idx="162">
                  <c:v>635.872280510515</c:v>
                </c:pt>
                <c:pt idx="163">
                  <c:v>824.296923212554</c:v>
                </c:pt>
                <c:pt idx="164">
                  <c:v>6041.22245913291</c:v>
                </c:pt>
                <c:pt idx="165">
                  <c:v>2882.20551378446</c:v>
                </c:pt>
                <c:pt idx="166">
                  <c:v>119.777158774373</c:v>
                </c:pt>
                <c:pt idx="167">
                  <c:v>854.832895617694</c:v>
                </c:pt>
                <c:pt idx="168">
                  <c:v>717.213114754098</c:v>
                </c:pt>
                <c:pt idx="169">
                  <c:v>2304.34782608696</c:v>
                </c:pt>
                <c:pt idx="170">
                  <c:v>1842.59670964873</c:v>
                </c:pt>
                <c:pt idx="171">
                  <c:v>46.9001743582953</c:v>
                </c:pt>
                <c:pt idx="172">
                  <c:v>563.90977443609</c:v>
                </c:pt>
                <c:pt idx="173">
                  <c:v>7331.37829912023</c:v>
                </c:pt>
                <c:pt idx="174">
                  <c:v>501.21359223301</c:v>
                </c:pt>
                <c:pt idx="175">
                  <c:v>61.2699591533606</c:v>
                </c:pt>
                <c:pt idx="176">
                  <c:v>700</c:v>
                </c:pt>
                <c:pt idx="177">
                  <c:v>1200.58608058608</c:v>
                </c:pt>
                <c:pt idx="178">
                  <c:v>1119.04761904762</c:v>
                </c:pt>
                <c:pt idx="179">
                  <c:v>52.8349699595435</c:v>
                </c:pt>
                <c:pt idx="180">
                  <c:v>348.729555555556</c:v>
                </c:pt>
                <c:pt idx="181">
                  <c:v>132.48995640653</c:v>
                </c:pt>
                <c:pt idx="182">
                  <c:v>840.950639853748</c:v>
                </c:pt>
                <c:pt idx="183">
                  <c:v>811.965811965812</c:v>
                </c:pt>
                <c:pt idx="184">
                  <c:v>757.575757575758</c:v>
                </c:pt>
                <c:pt idx="185">
                  <c:v>468.421052631579</c:v>
                </c:pt>
                <c:pt idx="186">
                  <c:v>1857.13418704861</c:v>
                </c:pt>
                <c:pt idx="187">
                  <c:v>1784.73866326716</c:v>
                </c:pt>
                <c:pt idx="188">
                  <c:v>244.081385404789</c:v>
                </c:pt>
                <c:pt idx="189">
                  <c:v>501.493679836531</c:v>
                </c:pt>
                <c:pt idx="190">
                  <c:v>111.372549019608</c:v>
                </c:pt>
                <c:pt idx="191">
                  <c:v>909.530882328399</c:v>
                </c:pt>
                <c:pt idx="192">
                  <c:v>250.545831991124</c:v>
                </c:pt>
                <c:pt idx="193">
                  <c:v>485.714285714286</c:v>
                </c:pt>
                <c:pt idx="194">
                  <c:v>2463.25118893212</c:v>
                </c:pt>
                <c:pt idx="195">
                  <c:v>1055.55555555556</c:v>
                </c:pt>
                <c:pt idx="196">
                  <c:v>967.774797106863</c:v>
                </c:pt>
                <c:pt idx="197">
                  <c:v>1088.9651531151</c:v>
                </c:pt>
                <c:pt idx="198">
                  <c:v>99.9019711907691</c:v>
                </c:pt>
                <c:pt idx="199">
                  <c:v>2416.67982941084</c:v>
                </c:pt>
                <c:pt idx="200">
                  <c:v>3416.66666666667</c:v>
                </c:pt>
                <c:pt idx="201">
                  <c:v>1031.60568546538</c:v>
                </c:pt>
                <c:pt idx="202">
                  <c:v>378.356387306753</c:v>
                </c:pt>
                <c:pt idx="203">
                  <c:v>2526.31578947368</c:v>
                </c:pt>
                <c:pt idx="204">
                  <c:v>489.795918367347</c:v>
                </c:pt>
                <c:pt idx="205">
                  <c:v>416.666666666667</c:v>
                </c:pt>
                <c:pt idx="206">
                  <c:v>433.911882510013</c:v>
                </c:pt>
                <c:pt idx="207">
                  <c:v>83.469610248024</c:v>
                </c:pt>
              </c:numCache>
            </c:numRef>
          </c:yVal>
          <c:smooth val="0"/>
        </c:ser>
        <c:axId val="73735775"/>
        <c:axId val="20887611"/>
      </c:scatterChart>
      <c:valAx>
        <c:axId val="73735775"/>
        <c:scaling>
          <c:orientation val="minMax"/>
          <c:max val="46296"/>
          <c:min val="46023"/>
        </c:scaling>
        <c:delete val="0"/>
        <c:axPos val="b"/>
        <c:title>
          <c:tx>
            <c:rich>
              <a:bodyPr rot="0"/>
              <a:lstStyle/>
              <a:p>
                <a:pPr>
                  <a:defRPr sz="1300" b="0" u="none" strike="noStrike">
                    <a:uFillTx/>
                    <a:latin typeface="Arial"/>
                  </a:defRPr>
                </a:pPr>
                <a:r>
                  <a:rPr lang="en-US" sz="1100" b="1" u="none" strike="noStrike">
                    <a:uFillTx/>
                    <a:latin typeface="Arial"/>
                  </a:rPr>
                  <a:t>Month</a:t>
                </a:r>
              </a:p>
            </c:rich>
          </c:tx>
          <c:overlay val="0"/>
          <c:spPr>
            <a:noFill/>
            <a:ln w="0">
              <a:noFill/>
            </a:ln>
          </c:spPr>
        </c:title>
        <c:numFmt formatCode="mmm\-yyyy" sourceLinked="0"/>
        <c:majorTickMark val="out"/>
        <c:minorTickMark val="none"/>
        <c:tickLblPos val="nextTo"/>
        <c:spPr>
          <a:ln w="0">
            <a:noFill/>
          </a:ln>
        </c:spPr>
        <c:txPr>
          <a:bodyPr/>
          <a:lstStyle/>
          <a:p>
            <a:pPr>
              <a:defRPr sz="1000" b="0" u="none" strike="noStrike">
                <a:uFillTx/>
                <a:latin typeface="Arial"/>
              </a:defRPr>
            </a:pPr>
          </a:p>
        </c:txPr>
        <c:crossAx val="20887611"/>
        <c:crosses val="min"/>
        <c:crossBetween val="midCat"/>
      </c:valAx>
      <c:valAx>
        <c:axId val="20887611"/>
        <c:scaling>
          <c:orientation val="minMax"/>
          <c:max val="9500"/>
          <c:min val="0"/>
        </c:scaling>
        <c:delete val="0"/>
        <c:axPos val="l"/>
        <c:title>
          <c:tx>
            <c:rich>
              <a:bodyPr rot="-5400000"/>
              <a:lstStyle/>
              <a:p>
                <a:pPr>
                  <a:defRPr sz="1300" b="0" u="none" strike="noStrike">
                    <a:uFillTx/>
                    <a:latin typeface="Arial"/>
                  </a:defRPr>
                </a:pPr>
                <a:r>
                  <a:rPr lang="en-US" sz="1100" b="1" u="none" strike="noStrike">
                    <a:uFillTx/>
                    <a:latin typeface="Arial"/>
                  </a:rPr>
                  <a:t>USD/sqft</a:t>
                </a:r>
              </a:p>
            </c:rich>
          </c:tx>
          <c:overlay val="0"/>
          <c:spPr>
            <a:noFill/>
            <a:ln w="0">
              <a:noFill/>
            </a:ln>
          </c:spPr>
        </c:title>
        <c:numFmt formatCode="\$#,##0" sourceLinked="0"/>
        <c:majorTickMark val="out"/>
        <c:minorTickMark val="none"/>
        <c:tickLblPos val="nextTo"/>
        <c:spPr>
          <a:ln w="0">
            <a:noFill/>
          </a:ln>
        </c:spPr>
        <c:txPr>
          <a:bodyPr/>
          <a:lstStyle/>
          <a:p>
            <a:pPr>
              <a:defRPr sz="1000" b="0" u="none" strike="noStrike">
                <a:uFillTx/>
                <a:latin typeface="Arial"/>
              </a:defRPr>
            </a:pPr>
          </a:p>
        </c:txPr>
        <c:crossAx val="73735775"/>
        <c:crosses val="min"/>
        <c:crossBetween val="midCat"/>
        <c:majorUnit val="1000"/>
      </c:valAx>
      <c:spPr>
        <a:solidFill>
          <a:srgbClr val="dddddd"/>
        </a:solidFill>
        <a:ln w="0">
          <a:noFill/>
        </a:ln>
      </c:spPr>
    </c:plotArea>
    <c:legend>
      <c:legendPos val="b"/>
      <c:overlay val="0"/>
      <c:spPr>
        <a:noFill/>
        <a:ln w="0">
          <a:noFill/>
        </a:ln>
      </c:spPr>
      <c:txPr>
        <a:bodyPr/>
        <a:lstStyle/>
        <a:p>
          <a:pPr>
            <a:defRPr sz="1000" b="0" u="none" strike="noStrike">
              <a:uFillTx/>
              <a:latin typeface="Arial"/>
            </a:defRPr>
          </a:pPr>
        </a:p>
      </c:txPr>
    </c:legend>
    <c:plotVisOnly val="1"/>
    <c:dispBlanksAs val="zero"/>
  </c:chart>
  <c:spPr>
    <a:no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400" b="1" u="none" strike="noStrike">
                <a:uFillTx/>
                <a:latin typeface="Arial"/>
              </a:rPr>
              <a:t>USD per square foot by sale month, up to $2,500</a:t>
            </a:r>
          </a:p>
        </c:rich>
      </c:tx>
      <c:overlay val="0"/>
      <c:spPr>
        <a:noFill/>
        <a:ln w="0">
          <a:noFill/>
        </a:ln>
      </c:spPr>
    </c:title>
    <c:autoTitleDeleted val="0"/>
    <c:plotArea>
      <c:scatterChart>
        <c:scatterStyle val="lineMarker"/>
        <c:varyColors val="0"/>
        <c:ser>
          <c:idx val="0"/>
          <c:order val="0"/>
          <c:tx>
            <c:strRef>
              <c:f>'2026 transactions'!$A$1</c:f>
              <c:strCache>
                <c:ptCount val="1"/>
                <c:pt idx="0">
                  <c:v>Date of transaction</c:v>
                </c:pt>
              </c:strCache>
            </c:strRef>
          </c:tx>
          <c:spPr>
            <a:solidFill>
              <a:srgbClr val="1d4ed8"/>
            </a:solidFill>
            <a:ln w="12600">
              <a:noFill/>
            </a:ln>
          </c:spPr>
          <c:marker>
            <c:symbol val="circle"/>
            <c:size val="6"/>
            <c:spPr>
              <a:solidFill>
                <a:srgbClr val="1d4ed8"/>
              </a:solidFill>
            </c:spPr>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noFill/>
                </a:ln>
              </c:spPr>
            </c:leaderLines>
            <c:extLst>
              <c:ext xmlns:c15="http://schemas.microsoft.com/office/drawing/2012/chart" uri="{CE6537A1-D6FC-4f65-9D91-7224C49458BB}">
                <c15:showLeaderLines val="1"/>
              </c:ext>
            </c:extLst>
          </c:dLbls>
          <c:xVal>
            <c:numRef>
              <c:f>Plot!$A$49:$A$75</c:f>
              <c:numCache>
                <c:formatCode>yyyy\-mm\-dd</c:formatCode>
                <c:ptCount val="27"/>
                <c:pt idx="0">
                  <c:v>46035</c:v>
                </c:pt>
                <c:pt idx="1">
                  <c:v>46043</c:v>
                </c:pt>
                <c:pt idx="2">
                  <c:v>46048</c:v>
                </c:pt>
                <c:pt idx="3">
                  <c:v>46048</c:v>
                </c:pt>
                <c:pt idx="4">
                  <c:v>46048</c:v>
                </c:pt>
                <c:pt idx="5">
                  <c:v>46048</c:v>
                </c:pt>
                <c:pt idx="6">
                  <c:v>46048</c:v>
                </c:pt>
                <c:pt idx="7">
                  <c:v>46065</c:v>
                </c:pt>
                <c:pt idx="8">
                  <c:v>46072</c:v>
                </c:pt>
                <c:pt idx="9">
                  <c:v>46085</c:v>
                </c:pt>
                <c:pt idx="10">
                  <c:v>46086</c:v>
                </c:pt>
                <c:pt idx="11">
                  <c:v>46111</c:v>
                </c:pt>
                <c:pt idx="12">
                  <c:v>46115</c:v>
                </c:pt>
                <c:pt idx="13">
                  <c:v>46129</c:v>
                </c:pt>
                <c:pt idx="14">
                  <c:v>46139</c:v>
                </c:pt>
                <c:pt idx="15">
                  <c:v>46148</c:v>
                </c:pt>
                <c:pt idx="16">
                  <c:v>46157</c:v>
                </c:pt>
                <c:pt idx="17">
                  <c:v>46177</c:v>
                </c:pt>
                <c:pt idx="18">
                  <c:v>46183</c:v>
                </c:pt>
                <c:pt idx="19">
                  <c:v>46202</c:v>
                </c:pt>
                <c:pt idx="20">
                  <c:v>46211</c:v>
                </c:pt>
                <c:pt idx="21">
                  <c:v>46216</c:v>
                </c:pt>
                <c:pt idx="22">
                  <c:v>46232</c:v>
                </c:pt>
                <c:pt idx="23">
                  <c:v>46274</c:v>
                </c:pt>
                <c:pt idx="24">
                  <c:v>46281</c:v>
                </c:pt>
                <c:pt idx="25">
                  <c:v>46287</c:v>
                </c:pt>
                <c:pt idx="26">
                  <c:v>46295</c:v>
                </c:pt>
              </c:numCache>
            </c:numRef>
          </c:xVal>
          <c:yVal>
            <c:numRef>
              <c:f>Plot!$B$49:$B$75</c:f>
              <c:numCache>
                <c:formatCode>\$#,##0.00</c:formatCode>
                <c:ptCount val="27"/>
                <c:pt idx="0">
                  <c:v>985.767396447482</c:v>
                </c:pt>
                <c:pt idx="1">
                  <c:v>997.414134348851</c:v>
                </c:pt>
                <c:pt idx="2">
                  <c:v>486.690114269448</c:v>
                </c:pt>
                <c:pt idx="3">
                  <c:v>805.02926140247</c:v>
                </c:pt>
                <c:pt idx="4">
                  <c:v>547.138252509982</c:v>
                </c:pt>
                <c:pt idx="5">
                  <c:v>703.043672101591</c:v>
                </c:pt>
                <c:pt idx="6">
                  <c:v>741.37278899178</c:v>
                </c:pt>
                <c:pt idx="7">
                  <c:v>48.3799188007495</c:v>
                </c:pt>
                <c:pt idx="8">
                  <c:v>363.794535173396</c:v>
                </c:pt>
                <c:pt idx="9">
                  <c:v>197.719553847796</c:v>
                </c:pt>
                <c:pt idx="10">
                  <c:v>227.638931742603</c:v>
                </c:pt>
                <c:pt idx="11">
                  <c:v>2974.10008779631</c:v>
                </c:pt>
                <c:pt idx="12">
                  <c:v>627.71212576076</c:v>
                </c:pt>
                <c:pt idx="13">
                  <c:v>1469.56116866488</c:v>
                </c:pt>
                <c:pt idx="14">
                  <c:v>811.088295687885</c:v>
                </c:pt>
                <c:pt idx="15">
                  <c:v>343.915343915344</c:v>
                </c:pt>
                <c:pt idx="16">
                  <c:v>2663.85203055891</c:v>
                </c:pt>
                <c:pt idx="17">
                  <c:v>847.782908032197</c:v>
                </c:pt>
                <c:pt idx="18">
                  <c:v>96.682764061935</c:v>
                </c:pt>
                <c:pt idx="19">
                  <c:v>616.543928754924</c:v>
                </c:pt>
                <c:pt idx="20">
                  <c:v>170.80990171861</c:v>
                </c:pt>
                <c:pt idx="21">
                  <c:v>943.701454371104</c:v>
                </c:pt>
                <c:pt idx="22">
                  <c:v>441.974996843036</c:v>
                </c:pt>
                <c:pt idx="23">
                  <c:v>833.032988106329</c:v>
                </c:pt>
                <c:pt idx="24">
                  <c:v>412.09022252872</c:v>
                </c:pt>
                <c:pt idx="25">
                  <c:v>67.1847810443407</c:v>
                </c:pt>
                <c:pt idx="26">
                  <c:v>387.107632752672</c:v>
                </c:pt>
              </c:numCache>
            </c:numRef>
          </c:yVal>
          <c:smooth val="0"/>
        </c:ser>
        <c:ser>
          <c:idx val="1"/>
          <c:order val="1"/>
          <c:tx>
            <c:strRef>
              <c:f>'2026 transactions'!$A$1</c:f>
              <c:strCache>
                <c:ptCount val="1"/>
                <c:pt idx="0">
                  <c:v>Date of transaction</c:v>
                </c:pt>
              </c:strCache>
            </c:strRef>
          </c:tx>
          <c:spPr>
            <a:solidFill>
              <a:srgbClr val="059669"/>
            </a:solidFill>
            <a:ln w="12600">
              <a:noFill/>
            </a:ln>
          </c:spPr>
          <c:marker>
            <c:symbol val="circle"/>
            <c:size val="6"/>
            <c:spPr>
              <a:solidFill>
                <a:srgbClr val="059669"/>
              </a:solidFill>
            </c:spPr>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noFill/>
                </a:ln>
              </c:spPr>
            </c:leaderLines>
            <c:extLst>
              <c:ext xmlns:c15="http://schemas.microsoft.com/office/drawing/2012/chart" uri="{CE6537A1-D6FC-4f65-9D91-7224C49458BB}">
                <c15:showLeaderLines val="1"/>
              </c:ext>
            </c:extLst>
          </c:dLbls>
          <c:xVal>
            <c:numRef>
              <c:f>Plot!$C$49:$C$122</c:f>
              <c:numCache>
                <c:formatCode>yyyy\-mm\-dd</c:formatCode>
                <c:ptCount val="74"/>
                <c:pt idx="0">
                  <c:v>46030</c:v>
                </c:pt>
                <c:pt idx="1">
                  <c:v>46031</c:v>
                </c:pt>
                <c:pt idx="2">
                  <c:v>46035</c:v>
                </c:pt>
                <c:pt idx="3">
                  <c:v>46035</c:v>
                </c:pt>
                <c:pt idx="4">
                  <c:v>46038</c:v>
                </c:pt>
                <c:pt idx="5">
                  <c:v>46048</c:v>
                </c:pt>
                <c:pt idx="6">
                  <c:v>46048</c:v>
                </c:pt>
                <c:pt idx="7">
                  <c:v>46048</c:v>
                </c:pt>
                <c:pt idx="8">
                  <c:v>46048</c:v>
                </c:pt>
                <c:pt idx="9">
                  <c:v>46048</c:v>
                </c:pt>
                <c:pt idx="10">
                  <c:v>46055</c:v>
                </c:pt>
                <c:pt idx="11">
                  <c:v>46063</c:v>
                </c:pt>
                <c:pt idx="12">
                  <c:v>46064</c:v>
                </c:pt>
                <c:pt idx="13">
                  <c:v>46066</c:v>
                </c:pt>
                <c:pt idx="14">
                  <c:v>46070</c:v>
                </c:pt>
                <c:pt idx="15">
                  <c:v>46071</c:v>
                </c:pt>
                <c:pt idx="16">
                  <c:v>46073</c:v>
                </c:pt>
                <c:pt idx="17">
                  <c:v>46080</c:v>
                </c:pt>
                <c:pt idx="18">
                  <c:v>46092</c:v>
                </c:pt>
                <c:pt idx="19">
                  <c:v>46094</c:v>
                </c:pt>
                <c:pt idx="20">
                  <c:v>46098</c:v>
                </c:pt>
                <c:pt idx="21">
                  <c:v>46100</c:v>
                </c:pt>
                <c:pt idx="22">
                  <c:v>46104</c:v>
                </c:pt>
                <c:pt idx="23">
                  <c:v>46108</c:v>
                </c:pt>
                <c:pt idx="24">
                  <c:v>46120</c:v>
                </c:pt>
                <c:pt idx="25">
                  <c:v>46121</c:v>
                </c:pt>
                <c:pt idx="26">
                  <c:v>46125</c:v>
                </c:pt>
                <c:pt idx="27">
                  <c:v>46127</c:v>
                </c:pt>
                <c:pt idx="28">
                  <c:v>46134</c:v>
                </c:pt>
                <c:pt idx="29">
                  <c:v>46134</c:v>
                </c:pt>
                <c:pt idx="30">
                  <c:v>46135</c:v>
                </c:pt>
                <c:pt idx="31">
                  <c:v>46140</c:v>
                </c:pt>
                <c:pt idx="32">
                  <c:v>46143</c:v>
                </c:pt>
                <c:pt idx="33">
                  <c:v>46160</c:v>
                </c:pt>
                <c:pt idx="34">
                  <c:v>46161</c:v>
                </c:pt>
                <c:pt idx="35">
                  <c:v>46162</c:v>
                </c:pt>
                <c:pt idx="36">
                  <c:v>46168</c:v>
                </c:pt>
                <c:pt idx="37">
                  <c:v>46170</c:v>
                </c:pt>
                <c:pt idx="38">
                  <c:v>46171</c:v>
                </c:pt>
                <c:pt idx="39">
                  <c:v>46174</c:v>
                </c:pt>
                <c:pt idx="40">
                  <c:v>46177</c:v>
                </c:pt>
                <c:pt idx="41">
                  <c:v>46178</c:v>
                </c:pt>
                <c:pt idx="42">
                  <c:v>46178</c:v>
                </c:pt>
                <c:pt idx="43">
                  <c:v>46181</c:v>
                </c:pt>
                <c:pt idx="44">
                  <c:v>46184</c:v>
                </c:pt>
                <c:pt idx="45">
                  <c:v>46184</c:v>
                </c:pt>
                <c:pt idx="46">
                  <c:v>46198</c:v>
                </c:pt>
                <c:pt idx="47">
                  <c:v>46203</c:v>
                </c:pt>
                <c:pt idx="48">
                  <c:v>46203</c:v>
                </c:pt>
                <c:pt idx="49">
                  <c:v>46203</c:v>
                </c:pt>
                <c:pt idx="50">
                  <c:v>46219</c:v>
                </c:pt>
                <c:pt idx="51">
                  <c:v>46223</c:v>
                </c:pt>
                <c:pt idx="52">
                  <c:v>46223</c:v>
                </c:pt>
                <c:pt idx="53">
                  <c:v>46225</c:v>
                </c:pt>
                <c:pt idx="54">
                  <c:v>46231</c:v>
                </c:pt>
                <c:pt idx="55">
                  <c:v>46234</c:v>
                </c:pt>
                <c:pt idx="56">
                  <c:v>46241</c:v>
                </c:pt>
                <c:pt idx="57">
                  <c:v>46241</c:v>
                </c:pt>
                <c:pt idx="58">
                  <c:v>46258</c:v>
                </c:pt>
                <c:pt idx="59">
                  <c:v>46265</c:v>
                </c:pt>
                <c:pt idx="60">
                  <c:v>46269</c:v>
                </c:pt>
                <c:pt idx="61">
                  <c:v>46269</c:v>
                </c:pt>
                <c:pt idx="62">
                  <c:v>46269</c:v>
                </c:pt>
                <c:pt idx="63">
                  <c:v>46273</c:v>
                </c:pt>
                <c:pt idx="64">
                  <c:v>46279</c:v>
                </c:pt>
                <c:pt idx="65">
                  <c:v>46283</c:v>
                </c:pt>
                <c:pt idx="66">
                  <c:v>46283</c:v>
                </c:pt>
                <c:pt idx="67">
                  <c:v>46283</c:v>
                </c:pt>
                <c:pt idx="68">
                  <c:v>46286</c:v>
                </c:pt>
                <c:pt idx="69">
                  <c:v>46286</c:v>
                </c:pt>
                <c:pt idx="70">
                  <c:v>46290</c:v>
                </c:pt>
                <c:pt idx="71">
                  <c:v>46290</c:v>
                </c:pt>
                <c:pt idx="72">
                  <c:v>46290</c:v>
                </c:pt>
                <c:pt idx="73">
                  <c:v>46294</c:v>
                </c:pt>
              </c:numCache>
            </c:numRef>
          </c:xVal>
          <c:yVal>
            <c:numRef>
              <c:f>Plot!$D$49:$D$122</c:f>
              <c:numCache>
                <c:formatCode>\$#,##0.00</c:formatCode>
                <c:ptCount val="74"/>
                <c:pt idx="0">
                  <c:v>1061.39655868327</c:v>
                </c:pt>
                <c:pt idx="1">
                  <c:v>118.396285640107</c:v>
                </c:pt>
                <c:pt idx="2">
                  <c:v>187.081500955518</c:v>
                </c:pt>
                <c:pt idx="3">
                  <c:v>68.9206537354426</c:v>
                </c:pt>
                <c:pt idx="4">
                  <c:v>24.1200923699632</c:v>
                </c:pt>
                <c:pt idx="5">
                  <c:v>866.036278372234</c:v>
                </c:pt>
                <c:pt idx="6">
                  <c:v>634.913423542091</c:v>
                </c:pt>
                <c:pt idx="7">
                  <c:v>679.154078875313</c:v>
                </c:pt>
                <c:pt idx="8">
                  <c:v>487.22669529144</c:v>
                </c:pt>
                <c:pt idx="9">
                  <c:v>693.822051757566</c:v>
                </c:pt>
                <c:pt idx="10">
                  <c:v>56.1028488836484</c:v>
                </c:pt>
                <c:pt idx="11">
                  <c:v>93.9202698852534</c:v>
                </c:pt>
                <c:pt idx="12">
                  <c:v>35.6147468524553</c:v>
                </c:pt>
                <c:pt idx="13">
                  <c:v>371.371795289442</c:v>
                </c:pt>
                <c:pt idx="14">
                  <c:v>89.8065310730597</c:v>
                </c:pt>
                <c:pt idx="15">
                  <c:v>51.5998146437798</c:v>
                </c:pt>
                <c:pt idx="16">
                  <c:v>1052.63157894737</c:v>
                </c:pt>
                <c:pt idx="17">
                  <c:v>5281.3215550086</c:v>
                </c:pt>
                <c:pt idx="18">
                  <c:v>603.236506067741</c:v>
                </c:pt>
                <c:pt idx="19">
                  <c:v>753.759784323637</c:v>
                </c:pt>
                <c:pt idx="20">
                  <c:v>58.2397614499371</c:v>
                </c:pt>
                <c:pt idx="21">
                  <c:v>632.992139120877</c:v>
                </c:pt>
                <c:pt idx="22">
                  <c:v>614.223665160356</c:v>
                </c:pt>
                <c:pt idx="23">
                  <c:v>91.2638233955394</c:v>
                </c:pt>
                <c:pt idx="24">
                  <c:v>587.780355761794</c:v>
                </c:pt>
                <c:pt idx="25">
                  <c:v>508.783670737828</c:v>
                </c:pt>
                <c:pt idx="26">
                  <c:v>36.1218396983762</c:v>
                </c:pt>
                <c:pt idx="27">
                  <c:v>599.056603773585</c:v>
                </c:pt>
                <c:pt idx="28">
                  <c:v>31.5509105204678</c:v>
                </c:pt>
                <c:pt idx="29">
                  <c:v>47.3395706969422</c:v>
                </c:pt>
                <c:pt idx="30">
                  <c:v>800.768737988469</c:v>
                </c:pt>
                <c:pt idx="31">
                  <c:v>263.703300823661</c:v>
                </c:pt>
                <c:pt idx="32">
                  <c:v>314.047144018326</c:v>
                </c:pt>
                <c:pt idx="33">
                  <c:v>166.316421495047</c:v>
                </c:pt>
                <c:pt idx="34">
                  <c:v>1348.88715953307</c:v>
                </c:pt>
                <c:pt idx="35">
                  <c:v>341.425164178129</c:v>
                </c:pt>
                <c:pt idx="36">
                  <c:v>1593.00391394585</c:v>
                </c:pt>
                <c:pt idx="37">
                  <c:v>268.756998880179</c:v>
                </c:pt>
                <c:pt idx="38">
                  <c:v>91.4531331271827</c:v>
                </c:pt>
                <c:pt idx="39">
                  <c:v>76.0375479351189</c:v>
                </c:pt>
                <c:pt idx="40">
                  <c:v>77.2322815626955</c:v>
                </c:pt>
                <c:pt idx="41">
                  <c:v>1378.88873794321</c:v>
                </c:pt>
                <c:pt idx="42">
                  <c:v>133.999068477429</c:v>
                </c:pt>
                <c:pt idx="43">
                  <c:v>1148.74768982416</c:v>
                </c:pt>
                <c:pt idx="44">
                  <c:v>860.916649674891</c:v>
                </c:pt>
                <c:pt idx="45">
                  <c:v>138.199777974127</c:v>
                </c:pt>
                <c:pt idx="46">
                  <c:v>528.662420382166</c:v>
                </c:pt>
                <c:pt idx="47">
                  <c:v>568.725087233488</c:v>
                </c:pt>
                <c:pt idx="48">
                  <c:v>662.557781201849</c:v>
                </c:pt>
                <c:pt idx="49">
                  <c:v>522.97748514878</c:v>
                </c:pt>
                <c:pt idx="50">
                  <c:v>226.003722414252</c:v>
                </c:pt>
                <c:pt idx="51">
                  <c:v>552.192304769624</c:v>
                </c:pt>
                <c:pt idx="52">
                  <c:v>65.5574348686885</c:v>
                </c:pt>
                <c:pt idx="53">
                  <c:v>134.825987491628</c:v>
                </c:pt>
                <c:pt idx="54">
                  <c:v>53.4463331493316</c:v>
                </c:pt>
                <c:pt idx="55">
                  <c:v>771.5215021927</c:v>
                </c:pt>
                <c:pt idx="56">
                  <c:v>37.6332130210917</c:v>
                </c:pt>
                <c:pt idx="57">
                  <c:v>476.46598373209</c:v>
                </c:pt>
                <c:pt idx="58">
                  <c:v>224.387981779696</c:v>
                </c:pt>
                <c:pt idx="59">
                  <c:v>894.19844051792</c:v>
                </c:pt>
                <c:pt idx="60">
                  <c:v>69.0089307655279</c:v>
                </c:pt>
                <c:pt idx="61">
                  <c:v>35.3073613507079</c:v>
                </c:pt>
                <c:pt idx="62">
                  <c:v>335.497835497836</c:v>
                </c:pt>
                <c:pt idx="63">
                  <c:v>769.230769230769</c:v>
                </c:pt>
                <c:pt idx="64">
                  <c:v>194.137678622577</c:v>
                </c:pt>
                <c:pt idx="65">
                  <c:v>92.7590591870259</c:v>
                </c:pt>
                <c:pt idx="66">
                  <c:v>1209.83625007034</c:v>
                </c:pt>
                <c:pt idx="67">
                  <c:v>75.3082933258025</c:v>
                </c:pt>
                <c:pt idx="68">
                  <c:v>36.320257668555</c:v>
                </c:pt>
                <c:pt idx="69">
                  <c:v>17.3152347729096</c:v>
                </c:pt>
                <c:pt idx="70">
                  <c:v>63.5413724936459</c:v>
                </c:pt>
                <c:pt idx="71">
                  <c:v>44.1543402466811</c:v>
                </c:pt>
                <c:pt idx="72">
                  <c:v>494.210674950579</c:v>
                </c:pt>
                <c:pt idx="73">
                  <c:v>111.404824069855</c:v>
                </c:pt>
              </c:numCache>
            </c:numRef>
          </c:yVal>
          <c:smooth val="0"/>
        </c:ser>
        <c:ser>
          <c:idx val="2"/>
          <c:order val="2"/>
          <c:tx>
            <c:strRef>
              <c:f>'2026 transactions'!$A$1</c:f>
              <c:strCache>
                <c:ptCount val="1"/>
                <c:pt idx="0">
                  <c:v>Date of transaction</c:v>
                </c:pt>
              </c:strCache>
            </c:strRef>
          </c:tx>
          <c:spPr>
            <a:solidFill>
              <a:srgbClr val="d97706"/>
            </a:solidFill>
            <a:ln w="12600">
              <a:noFill/>
            </a:ln>
          </c:spPr>
          <c:marker>
            <c:symbol val="circle"/>
            <c:size val="6"/>
            <c:spPr>
              <a:solidFill>
                <a:srgbClr val="d97706"/>
              </a:solidFill>
            </c:spPr>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noFill/>
                </a:ln>
              </c:spPr>
            </c:leaderLines>
            <c:extLst>
              <c:ext xmlns:c15="http://schemas.microsoft.com/office/drawing/2012/chart" uri="{CE6537A1-D6FC-4f65-9D91-7224C49458BB}">
                <c15:showLeaderLines val="1"/>
              </c:ext>
            </c:extLst>
          </c:dLbls>
          <c:xVal>
            <c:numRef>
              <c:f>Plot!$E$49:$E$130</c:f>
              <c:numCache>
                <c:formatCode>yyyy\-mm\-dd</c:formatCode>
                <c:ptCount val="82"/>
                <c:pt idx="0">
                  <c:v>46028</c:v>
                </c:pt>
                <c:pt idx="1">
                  <c:v>46028</c:v>
                </c:pt>
                <c:pt idx="2">
                  <c:v>46031</c:v>
                </c:pt>
                <c:pt idx="3">
                  <c:v>46035</c:v>
                </c:pt>
                <c:pt idx="4">
                  <c:v>46043</c:v>
                </c:pt>
                <c:pt idx="5">
                  <c:v>46043</c:v>
                </c:pt>
                <c:pt idx="6">
                  <c:v>46048</c:v>
                </c:pt>
                <c:pt idx="7">
                  <c:v>46050</c:v>
                </c:pt>
                <c:pt idx="8">
                  <c:v>46051</c:v>
                </c:pt>
                <c:pt idx="9">
                  <c:v>46055</c:v>
                </c:pt>
                <c:pt idx="10">
                  <c:v>46077</c:v>
                </c:pt>
                <c:pt idx="11">
                  <c:v>46078</c:v>
                </c:pt>
                <c:pt idx="12">
                  <c:v>46079</c:v>
                </c:pt>
                <c:pt idx="13">
                  <c:v>46080</c:v>
                </c:pt>
                <c:pt idx="14">
                  <c:v>46086</c:v>
                </c:pt>
                <c:pt idx="15">
                  <c:v>46090</c:v>
                </c:pt>
                <c:pt idx="16">
                  <c:v>46097</c:v>
                </c:pt>
                <c:pt idx="17">
                  <c:v>46098</c:v>
                </c:pt>
                <c:pt idx="18">
                  <c:v>46107</c:v>
                </c:pt>
                <c:pt idx="19">
                  <c:v>46107</c:v>
                </c:pt>
                <c:pt idx="20">
                  <c:v>46107</c:v>
                </c:pt>
                <c:pt idx="21">
                  <c:v>46107</c:v>
                </c:pt>
                <c:pt idx="22">
                  <c:v>46112</c:v>
                </c:pt>
                <c:pt idx="23">
                  <c:v>46118</c:v>
                </c:pt>
                <c:pt idx="24">
                  <c:v>46118</c:v>
                </c:pt>
                <c:pt idx="25">
                  <c:v>46128</c:v>
                </c:pt>
                <c:pt idx="26">
                  <c:v>46128</c:v>
                </c:pt>
                <c:pt idx="27">
                  <c:v>46128</c:v>
                </c:pt>
                <c:pt idx="28">
                  <c:v>46128</c:v>
                </c:pt>
                <c:pt idx="29">
                  <c:v>46129</c:v>
                </c:pt>
                <c:pt idx="30">
                  <c:v>46133</c:v>
                </c:pt>
                <c:pt idx="31">
                  <c:v>46135</c:v>
                </c:pt>
                <c:pt idx="32">
                  <c:v>46136</c:v>
                </c:pt>
                <c:pt idx="33">
                  <c:v>46136</c:v>
                </c:pt>
                <c:pt idx="34">
                  <c:v>46139</c:v>
                </c:pt>
                <c:pt idx="35">
                  <c:v>46140</c:v>
                </c:pt>
                <c:pt idx="36">
                  <c:v>46147</c:v>
                </c:pt>
                <c:pt idx="37">
                  <c:v>46149</c:v>
                </c:pt>
                <c:pt idx="38">
                  <c:v>46154</c:v>
                </c:pt>
                <c:pt idx="39">
                  <c:v>46156</c:v>
                </c:pt>
                <c:pt idx="40">
                  <c:v>46160</c:v>
                </c:pt>
                <c:pt idx="41">
                  <c:v>46160</c:v>
                </c:pt>
                <c:pt idx="42">
                  <c:v>46160</c:v>
                </c:pt>
                <c:pt idx="43">
                  <c:v>46168</c:v>
                </c:pt>
                <c:pt idx="44">
                  <c:v>46171</c:v>
                </c:pt>
                <c:pt idx="45">
                  <c:v>46175</c:v>
                </c:pt>
                <c:pt idx="46">
                  <c:v>46176</c:v>
                </c:pt>
                <c:pt idx="47">
                  <c:v>46177</c:v>
                </c:pt>
                <c:pt idx="48">
                  <c:v>46178</c:v>
                </c:pt>
                <c:pt idx="49">
                  <c:v>46182</c:v>
                </c:pt>
                <c:pt idx="50">
                  <c:v>46183</c:v>
                </c:pt>
                <c:pt idx="51">
                  <c:v>46185</c:v>
                </c:pt>
                <c:pt idx="52">
                  <c:v>46191</c:v>
                </c:pt>
                <c:pt idx="53">
                  <c:v>46202</c:v>
                </c:pt>
                <c:pt idx="54">
                  <c:v>46202</c:v>
                </c:pt>
                <c:pt idx="55">
                  <c:v>46203</c:v>
                </c:pt>
                <c:pt idx="56">
                  <c:v>46205</c:v>
                </c:pt>
                <c:pt idx="57">
                  <c:v>46213</c:v>
                </c:pt>
                <c:pt idx="58">
                  <c:v>46219</c:v>
                </c:pt>
                <c:pt idx="59">
                  <c:v>46223</c:v>
                </c:pt>
                <c:pt idx="60">
                  <c:v>46224</c:v>
                </c:pt>
                <c:pt idx="61">
                  <c:v>46231</c:v>
                </c:pt>
                <c:pt idx="62">
                  <c:v>46234</c:v>
                </c:pt>
                <c:pt idx="63">
                  <c:v>46234</c:v>
                </c:pt>
                <c:pt idx="64">
                  <c:v>46244</c:v>
                </c:pt>
                <c:pt idx="65">
                  <c:v>46244</c:v>
                </c:pt>
                <c:pt idx="66">
                  <c:v>46245</c:v>
                </c:pt>
                <c:pt idx="67">
                  <c:v>46246</c:v>
                </c:pt>
                <c:pt idx="68">
                  <c:v>46246</c:v>
                </c:pt>
                <c:pt idx="69">
                  <c:v>46246</c:v>
                </c:pt>
                <c:pt idx="70">
                  <c:v>46247</c:v>
                </c:pt>
                <c:pt idx="71">
                  <c:v>46247</c:v>
                </c:pt>
                <c:pt idx="72">
                  <c:v>46251</c:v>
                </c:pt>
                <c:pt idx="73">
                  <c:v>46254</c:v>
                </c:pt>
                <c:pt idx="74">
                  <c:v>46255</c:v>
                </c:pt>
                <c:pt idx="75">
                  <c:v>46259</c:v>
                </c:pt>
                <c:pt idx="76">
                  <c:v>46261</c:v>
                </c:pt>
                <c:pt idx="77">
                  <c:v>46262</c:v>
                </c:pt>
                <c:pt idx="78">
                  <c:v>46273</c:v>
                </c:pt>
                <c:pt idx="79">
                  <c:v>46279</c:v>
                </c:pt>
                <c:pt idx="80">
                  <c:v>46288</c:v>
                </c:pt>
                <c:pt idx="81">
                  <c:v>46295</c:v>
                </c:pt>
              </c:numCache>
            </c:numRef>
          </c:xVal>
          <c:yVal>
            <c:numRef>
              <c:f>Plot!$F$49:$F$130</c:f>
              <c:numCache>
                <c:formatCode>\$#,##0.00</c:formatCode>
                <c:ptCount val="82"/>
                <c:pt idx="0">
                  <c:v>723.684210526316</c:v>
                </c:pt>
                <c:pt idx="1">
                  <c:v>272.209849047266</c:v>
                </c:pt>
                <c:pt idx="2">
                  <c:v>210.283479819511</c:v>
                </c:pt>
                <c:pt idx="3">
                  <c:v>497.415906725698</c:v>
                </c:pt>
                <c:pt idx="4">
                  <c:v>973.520249221184</c:v>
                </c:pt>
                <c:pt idx="5">
                  <c:v>248.911014312383</c:v>
                </c:pt>
                <c:pt idx="6">
                  <c:v>487.008695176638</c:v>
                </c:pt>
                <c:pt idx="7">
                  <c:v>916.95529996079</c:v>
                </c:pt>
                <c:pt idx="8">
                  <c:v>1411.96013289037</c:v>
                </c:pt>
                <c:pt idx="9">
                  <c:v>595.817307692308</c:v>
                </c:pt>
                <c:pt idx="10">
                  <c:v>2147.88461538462</c:v>
                </c:pt>
                <c:pt idx="11">
                  <c:v>294.117647058824</c:v>
                </c:pt>
                <c:pt idx="12">
                  <c:v>168.666066479663</c:v>
                </c:pt>
                <c:pt idx="13">
                  <c:v>1067.64253981559</c:v>
                </c:pt>
                <c:pt idx="14">
                  <c:v>513.550896317498</c:v>
                </c:pt>
                <c:pt idx="15">
                  <c:v>1354.89100580141</c:v>
                </c:pt>
                <c:pt idx="16">
                  <c:v>260.681000276829</c:v>
                </c:pt>
                <c:pt idx="17">
                  <c:v>5403.22580645161</c:v>
                </c:pt>
                <c:pt idx="18">
                  <c:v>406.346749226006</c:v>
                </c:pt>
                <c:pt idx="19">
                  <c:v>548.833327984081</c:v>
                </c:pt>
                <c:pt idx="20">
                  <c:v>419.230769230769</c:v>
                </c:pt>
                <c:pt idx="21">
                  <c:v>678.571428571429</c:v>
                </c:pt>
                <c:pt idx="22">
                  <c:v>478.145262863274</c:v>
                </c:pt>
                <c:pt idx="23">
                  <c:v>1294.60432725217</c:v>
                </c:pt>
                <c:pt idx="24">
                  <c:v>517.841730900866</c:v>
                </c:pt>
                <c:pt idx="25">
                  <c:v>117.044311912451</c:v>
                </c:pt>
                <c:pt idx="26">
                  <c:v>107.151161488743</c:v>
                </c:pt>
                <c:pt idx="27">
                  <c:v>111.9945036281</c:v>
                </c:pt>
                <c:pt idx="28">
                  <c:v>94.7656818181818</c:v>
                </c:pt>
                <c:pt idx="29">
                  <c:v>298.656047784968</c:v>
                </c:pt>
                <c:pt idx="30">
                  <c:v>115.748011015116</c:v>
                </c:pt>
                <c:pt idx="31">
                  <c:v>96.5913535387972</c:v>
                </c:pt>
                <c:pt idx="32">
                  <c:v>767.400067997474</c:v>
                </c:pt>
                <c:pt idx="33">
                  <c:v>150.565836126087</c:v>
                </c:pt>
                <c:pt idx="34">
                  <c:v>62.8981210688674</c:v>
                </c:pt>
                <c:pt idx="35">
                  <c:v>704.588063206906</c:v>
                </c:pt>
                <c:pt idx="36">
                  <c:v>210.970464135021</c:v>
                </c:pt>
                <c:pt idx="37">
                  <c:v>476.45469458651</c:v>
                </c:pt>
                <c:pt idx="38">
                  <c:v>426.333531627999</c:v>
                </c:pt>
                <c:pt idx="39">
                  <c:v>534.992470476341</c:v>
                </c:pt>
                <c:pt idx="40">
                  <c:v>1204.9891737477</c:v>
                </c:pt>
                <c:pt idx="41">
                  <c:v>152.223762453199</c:v>
                </c:pt>
                <c:pt idx="42">
                  <c:v>204.545454545455</c:v>
                </c:pt>
                <c:pt idx="43">
                  <c:v>656.565656565657</c:v>
                </c:pt>
                <c:pt idx="44">
                  <c:v>1338.28354342946</c:v>
                </c:pt>
                <c:pt idx="45">
                  <c:v>368.459837877671</c:v>
                </c:pt>
                <c:pt idx="46">
                  <c:v>267.001555232558</c:v>
                </c:pt>
                <c:pt idx="47">
                  <c:v>64.8016472867016</c:v>
                </c:pt>
                <c:pt idx="48">
                  <c:v>187.367471788247</c:v>
                </c:pt>
                <c:pt idx="49">
                  <c:v>301.381331100879</c:v>
                </c:pt>
                <c:pt idx="50">
                  <c:v>412.765957446809</c:v>
                </c:pt>
                <c:pt idx="51">
                  <c:v>874.814101426524</c:v>
                </c:pt>
                <c:pt idx="52">
                  <c:v>329.312063684794</c:v>
                </c:pt>
                <c:pt idx="53">
                  <c:v>188.984573475258</c:v>
                </c:pt>
                <c:pt idx="54">
                  <c:v>207</c:v>
                </c:pt>
                <c:pt idx="55">
                  <c:v>6399.31740614335</c:v>
                </c:pt>
                <c:pt idx="56">
                  <c:v>981.012658227848</c:v>
                </c:pt>
                <c:pt idx="57">
                  <c:v>324.540208823767</c:v>
                </c:pt>
                <c:pt idx="58">
                  <c:v>689.868865979381</c:v>
                </c:pt>
                <c:pt idx="59">
                  <c:v>334.367643911834</c:v>
                </c:pt>
                <c:pt idx="60">
                  <c:v>108.735655257787</c:v>
                </c:pt>
                <c:pt idx="61">
                  <c:v>396.209873212841</c:v>
                </c:pt>
                <c:pt idx="62">
                  <c:v>376.751727339393</c:v>
                </c:pt>
                <c:pt idx="63">
                  <c:v>311.340142940401</c:v>
                </c:pt>
                <c:pt idx="64">
                  <c:v>620.037420576735</c:v>
                </c:pt>
                <c:pt idx="65">
                  <c:v>485.665047783174</c:v>
                </c:pt>
                <c:pt idx="66">
                  <c:v>844.965233769172</c:v>
                </c:pt>
                <c:pt idx="67">
                  <c:v>68.0206342274076</c:v>
                </c:pt>
                <c:pt idx="68">
                  <c:v>108.994936151475</c:v>
                </c:pt>
                <c:pt idx="69">
                  <c:v>64.9462365591398</c:v>
                </c:pt>
                <c:pt idx="70">
                  <c:v>979.166666666667</c:v>
                </c:pt>
                <c:pt idx="71">
                  <c:v>669.287156060767</c:v>
                </c:pt>
                <c:pt idx="72">
                  <c:v>890.41095890411</c:v>
                </c:pt>
                <c:pt idx="73">
                  <c:v>324.825986078886</c:v>
                </c:pt>
                <c:pt idx="74">
                  <c:v>380.632026201646</c:v>
                </c:pt>
                <c:pt idx="75">
                  <c:v>879.169654136365</c:v>
                </c:pt>
                <c:pt idx="76">
                  <c:v>607.843137254902</c:v>
                </c:pt>
                <c:pt idx="77">
                  <c:v>432.0733368</c:v>
                </c:pt>
                <c:pt idx="78">
                  <c:v>439.664502164502</c:v>
                </c:pt>
                <c:pt idx="79">
                  <c:v>476.477683956574</c:v>
                </c:pt>
                <c:pt idx="80">
                  <c:v>1021.6894977169</c:v>
                </c:pt>
                <c:pt idx="81">
                  <c:v>591.723641597697</c:v>
                </c:pt>
              </c:numCache>
            </c:numRef>
          </c:yVal>
          <c:smooth val="0"/>
        </c:ser>
        <c:ser>
          <c:idx val="3"/>
          <c:order val="3"/>
          <c:tx>
            <c:strRef>
              <c:f>'2026 transactions'!$A$1</c:f>
              <c:strCache>
                <c:ptCount val="1"/>
                <c:pt idx="0">
                  <c:v>Date of transaction</c:v>
                </c:pt>
              </c:strCache>
            </c:strRef>
          </c:tx>
          <c:spPr>
            <a:solidFill>
              <a:srgbClr val="be123c"/>
            </a:solidFill>
            <a:ln w="12600">
              <a:noFill/>
            </a:ln>
          </c:spPr>
          <c:marker>
            <c:symbol val="circle"/>
            <c:size val="6"/>
            <c:spPr>
              <a:solidFill>
                <a:srgbClr val="be123c"/>
              </a:solidFill>
            </c:spPr>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noFill/>
                </a:ln>
              </c:spPr>
            </c:leaderLines>
            <c:extLst>
              <c:ext xmlns:c15="http://schemas.microsoft.com/office/drawing/2012/chart" uri="{CE6537A1-D6FC-4f65-9D91-7224C49458BB}">
                <c15:showLeaderLines val="1"/>
              </c:ext>
            </c:extLst>
          </c:dLbls>
          <c:xVal>
            <c:numRef>
              <c:f>Plot!$G$49:$G$256</c:f>
              <c:numCache>
                <c:formatCode>yyyy\-mm\-dd</c:formatCode>
                <c:ptCount val="208"/>
                <c:pt idx="0">
                  <c:v>46028</c:v>
                </c:pt>
                <c:pt idx="1">
                  <c:v>46029</c:v>
                </c:pt>
                <c:pt idx="2">
                  <c:v>46034</c:v>
                </c:pt>
                <c:pt idx="3">
                  <c:v>46035</c:v>
                </c:pt>
                <c:pt idx="4">
                  <c:v>46035</c:v>
                </c:pt>
                <c:pt idx="5">
                  <c:v>46037</c:v>
                </c:pt>
                <c:pt idx="6">
                  <c:v>46042</c:v>
                </c:pt>
                <c:pt idx="7">
                  <c:v>46043</c:v>
                </c:pt>
                <c:pt idx="8">
                  <c:v>46044</c:v>
                </c:pt>
                <c:pt idx="9">
                  <c:v>46044</c:v>
                </c:pt>
                <c:pt idx="10">
                  <c:v>46044</c:v>
                </c:pt>
                <c:pt idx="11">
                  <c:v>46049</c:v>
                </c:pt>
                <c:pt idx="12">
                  <c:v>46055</c:v>
                </c:pt>
                <c:pt idx="13">
                  <c:v>46058</c:v>
                </c:pt>
                <c:pt idx="14">
                  <c:v>46062</c:v>
                </c:pt>
                <c:pt idx="15">
                  <c:v>46063</c:v>
                </c:pt>
                <c:pt idx="16">
                  <c:v>46064</c:v>
                </c:pt>
                <c:pt idx="17">
                  <c:v>46064</c:v>
                </c:pt>
                <c:pt idx="18">
                  <c:v>46065</c:v>
                </c:pt>
                <c:pt idx="19">
                  <c:v>46066</c:v>
                </c:pt>
                <c:pt idx="20">
                  <c:v>46070</c:v>
                </c:pt>
                <c:pt idx="21">
                  <c:v>46070</c:v>
                </c:pt>
                <c:pt idx="22">
                  <c:v>46070</c:v>
                </c:pt>
                <c:pt idx="23">
                  <c:v>46070</c:v>
                </c:pt>
                <c:pt idx="24">
                  <c:v>46071</c:v>
                </c:pt>
                <c:pt idx="25">
                  <c:v>46071</c:v>
                </c:pt>
                <c:pt idx="26">
                  <c:v>46071</c:v>
                </c:pt>
                <c:pt idx="27">
                  <c:v>46071</c:v>
                </c:pt>
                <c:pt idx="28">
                  <c:v>46072</c:v>
                </c:pt>
                <c:pt idx="29">
                  <c:v>46073</c:v>
                </c:pt>
                <c:pt idx="30">
                  <c:v>46077</c:v>
                </c:pt>
                <c:pt idx="31">
                  <c:v>46078</c:v>
                </c:pt>
                <c:pt idx="32">
                  <c:v>46079</c:v>
                </c:pt>
                <c:pt idx="33">
                  <c:v>46079</c:v>
                </c:pt>
                <c:pt idx="34">
                  <c:v>46079</c:v>
                </c:pt>
                <c:pt idx="35">
                  <c:v>46079</c:v>
                </c:pt>
                <c:pt idx="36">
                  <c:v>46079</c:v>
                </c:pt>
                <c:pt idx="37">
                  <c:v>46079</c:v>
                </c:pt>
                <c:pt idx="38">
                  <c:v>46079</c:v>
                </c:pt>
                <c:pt idx="39">
                  <c:v>46080</c:v>
                </c:pt>
                <c:pt idx="40">
                  <c:v>46084</c:v>
                </c:pt>
                <c:pt idx="41">
                  <c:v>46085</c:v>
                </c:pt>
                <c:pt idx="42">
                  <c:v>46085</c:v>
                </c:pt>
                <c:pt idx="43">
                  <c:v>46085</c:v>
                </c:pt>
                <c:pt idx="44">
                  <c:v>46090</c:v>
                </c:pt>
                <c:pt idx="45">
                  <c:v>46090</c:v>
                </c:pt>
                <c:pt idx="46">
                  <c:v>46091</c:v>
                </c:pt>
                <c:pt idx="47">
                  <c:v>46094</c:v>
                </c:pt>
                <c:pt idx="48">
                  <c:v>46099</c:v>
                </c:pt>
                <c:pt idx="49">
                  <c:v>46100</c:v>
                </c:pt>
                <c:pt idx="50">
                  <c:v>46101</c:v>
                </c:pt>
                <c:pt idx="51">
                  <c:v>46101</c:v>
                </c:pt>
                <c:pt idx="52">
                  <c:v>46104</c:v>
                </c:pt>
                <c:pt idx="53">
                  <c:v>46104</c:v>
                </c:pt>
                <c:pt idx="54">
                  <c:v>46105</c:v>
                </c:pt>
                <c:pt idx="55">
                  <c:v>46105</c:v>
                </c:pt>
                <c:pt idx="56">
                  <c:v>46106</c:v>
                </c:pt>
                <c:pt idx="57">
                  <c:v>46106</c:v>
                </c:pt>
                <c:pt idx="58">
                  <c:v>46106</c:v>
                </c:pt>
                <c:pt idx="59">
                  <c:v>46106</c:v>
                </c:pt>
                <c:pt idx="60">
                  <c:v>46107</c:v>
                </c:pt>
                <c:pt idx="61">
                  <c:v>46108</c:v>
                </c:pt>
                <c:pt idx="62">
                  <c:v>46108</c:v>
                </c:pt>
                <c:pt idx="63">
                  <c:v>46111</c:v>
                </c:pt>
                <c:pt idx="64">
                  <c:v>46112</c:v>
                </c:pt>
                <c:pt idx="65">
                  <c:v>46113</c:v>
                </c:pt>
                <c:pt idx="66">
                  <c:v>46118</c:v>
                </c:pt>
                <c:pt idx="67">
                  <c:v>46119</c:v>
                </c:pt>
                <c:pt idx="68">
                  <c:v>46119</c:v>
                </c:pt>
                <c:pt idx="69">
                  <c:v>46120</c:v>
                </c:pt>
                <c:pt idx="70">
                  <c:v>46121</c:v>
                </c:pt>
                <c:pt idx="71">
                  <c:v>46122</c:v>
                </c:pt>
                <c:pt idx="72">
                  <c:v>46126</c:v>
                </c:pt>
                <c:pt idx="73">
                  <c:v>46127</c:v>
                </c:pt>
                <c:pt idx="74">
                  <c:v>46127</c:v>
                </c:pt>
                <c:pt idx="75">
                  <c:v>46132</c:v>
                </c:pt>
                <c:pt idx="76">
                  <c:v>46135</c:v>
                </c:pt>
                <c:pt idx="77">
                  <c:v>46136</c:v>
                </c:pt>
                <c:pt idx="78">
                  <c:v>46140</c:v>
                </c:pt>
                <c:pt idx="79">
                  <c:v>46140</c:v>
                </c:pt>
                <c:pt idx="80">
                  <c:v>46141</c:v>
                </c:pt>
                <c:pt idx="81">
                  <c:v>46148</c:v>
                </c:pt>
                <c:pt idx="82">
                  <c:v>46148</c:v>
                </c:pt>
                <c:pt idx="83">
                  <c:v>46148</c:v>
                </c:pt>
                <c:pt idx="84">
                  <c:v>46154</c:v>
                </c:pt>
                <c:pt idx="85">
                  <c:v>46155</c:v>
                </c:pt>
                <c:pt idx="86">
                  <c:v>46156</c:v>
                </c:pt>
                <c:pt idx="87">
                  <c:v>46160</c:v>
                </c:pt>
                <c:pt idx="88">
                  <c:v>46160</c:v>
                </c:pt>
                <c:pt idx="89">
                  <c:v>46160</c:v>
                </c:pt>
                <c:pt idx="90">
                  <c:v>46161</c:v>
                </c:pt>
                <c:pt idx="91">
                  <c:v>46161</c:v>
                </c:pt>
                <c:pt idx="92">
                  <c:v>46162</c:v>
                </c:pt>
                <c:pt idx="93">
                  <c:v>46168</c:v>
                </c:pt>
                <c:pt idx="94">
                  <c:v>46168</c:v>
                </c:pt>
                <c:pt idx="95">
                  <c:v>46168</c:v>
                </c:pt>
                <c:pt idx="96">
                  <c:v>46169</c:v>
                </c:pt>
                <c:pt idx="97">
                  <c:v>46170</c:v>
                </c:pt>
                <c:pt idx="98">
                  <c:v>46170</c:v>
                </c:pt>
                <c:pt idx="99">
                  <c:v>46176</c:v>
                </c:pt>
                <c:pt idx="100">
                  <c:v>46176</c:v>
                </c:pt>
                <c:pt idx="101">
                  <c:v>46177</c:v>
                </c:pt>
                <c:pt idx="102">
                  <c:v>46177</c:v>
                </c:pt>
                <c:pt idx="103">
                  <c:v>46178</c:v>
                </c:pt>
                <c:pt idx="104">
                  <c:v>46178</c:v>
                </c:pt>
                <c:pt idx="105">
                  <c:v>46178</c:v>
                </c:pt>
                <c:pt idx="106">
                  <c:v>46182</c:v>
                </c:pt>
                <c:pt idx="107">
                  <c:v>46182</c:v>
                </c:pt>
                <c:pt idx="108">
                  <c:v>46183</c:v>
                </c:pt>
                <c:pt idx="109">
                  <c:v>46184</c:v>
                </c:pt>
                <c:pt idx="110">
                  <c:v>46185</c:v>
                </c:pt>
                <c:pt idx="111">
                  <c:v>46185</c:v>
                </c:pt>
                <c:pt idx="112">
                  <c:v>46185</c:v>
                </c:pt>
                <c:pt idx="113">
                  <c:v>46190</c:v>
                </c:pt>
                <c:pt idx="114">
                  <c:v>46190</c:v>
                </c:pt>
                <c:pt idx="115">
                  <c:v>46191</c:v>
                </c:pt>
                <c:pt idx="116">
                  <c:v>46191</c:v>
                </c:pt>
                <c:pt idx="117">
                  <c:v>46195</c:v>
                </c:pt>
                <c:pt idx="118">
                  <c:v>46196</c:v>
                </c:pt>
                <c:pt idx="119">
                  <c:v>46197</c:v>
                </c:pt>
                <c:pt idx="120">
                  <c:v>46197</c:v>
                </c:pt>
                <c:pt idx="121">
                  <c:v>46198</c:v>
                </c:pt>
                <c:pt idx="122">
                  <c:v>46199</c:v>
                </c:pt>
                <c:pt idx="123">
                  <c:v>46202</c:v>
                </c:pt>
                <c:pt idx="124">
                  <c:v>46202</c:v>
                </c:pt>
                <c:pt idx="125">
                  <c:v>46202</c:v>
                </c:pt>
                <c:pt idx="126">
                  <c:v>46202</c:v>
                </c:pt>
                <c:pt idx="127">
                  <c:v>46202</c:v>
                </c:pt>
                <c:pt idx="128">
                  <c:v>46203</c:v>
                </c:pt>
                <c:pt idx="129">
                  <c:v>46203</c:v>
                </c:pt>
                <c:pt idx="130">
                  <c:v>46205</c:v>
                </c:pt>
                <c:pt idx="131">
                  <c:v>46209</c:v>
                </c:pt>
                <c:pt idx="132">
                  <c:v>46210</c:v>
                </c:pt>
                <c:pt idx="133">
                  <c:v>46211</c:v>
                </c:pt>
                <c:pt idx="134">
                  <c:v>46212</c:v>
                </c:pt>
                <c:pt idx="135">
                  <c:v>46213</c:v>
                </c:pt>
                <c:pt idx="136">
                  <c:v>46213</c:v>
                </c:pt>
                <c:pt idx="137">
                  <c:v>46213</c:v>
                </c:pt>
                <c:pt idx="138">
                  <c:v>46216</c:v>
                </c:pt>
                <c:pt idx="139">
                  <c:v>46216</c:v>
                </c:pt>
                <c:pt idx="140">
                  <c:v>46217</c:v>
                </c:pt>
                <c:pt idx="141">
                  <c:v>46217</c:v>
                </c:pt>
                <c:pt idx="142">
                  <c:v>46217</c:v>
                </c:pt>
                <c:pt idx="143">
                  <c:v>46220</c:v>
                </c:pt>
                <c:pt idx="144">
                  <c:v>46220</c:v>
                </c:pt>
                <c:pt idx="145">
                  <c:v>46224</c:v>
                </c:pt>
                <c:pt idx="146">
                  <c:v>46230</c:v>
                </c:pt>
                <c:pt idx="147">
                  <c:v>46231</c:v>
                </c:pt>
                <c:pt idx="148">
                  <c:v>46231</c:v>
                </c:pt>
                <c:pt idx="149">
                  <c:v>46231</c:v>
                </c:pt>
                <c:pt idx="150">
                  <c:v>46232</c:v>
                </c:pt>
                <c:pt idx="151">
                  <c:v>46234</c:v>
                </c:pt>
                <c:pt idx="152">
                  <c:v>46237</c:v>
                </c:pt>
                <c:pt idx="153">
                  <c:v>46237</c:v>
                </c:pt>
                <c:pt idx="154">
                  <c:v>46238</c:v>
                </c:pt>
                <c:pt idx="155">
                  <c:v>46239</c:v>
                </c:pt>
                <c:pt idx="156">
                  <c:v>46240</c:v>
                </c:pt>
                <c:pt idx="157">
                  <c:v>46240</c:v>
                </c:pt>
                <c:pt idx="158">
                  <c:v>46241</c:v>
                </c:pt>
                <c:pt idx="159">
                  <c:v>46244</c:v>
                </c:pt>
                <c:pt idx="160">
                  <c:v>46244</c:v>
                </c:pt>
                <c:pt idx="161">
                  <c:v>46245</c:v>
                </c:pt>
                <c:pt idx="162">
                  <c:v>46245</c:v>
                </c:pt>
                <c:pt idx="163">
                  <c:v>46245</c:v>
                </c:pt>
                <c:pt idx="164">
                  <c:v>46245</c:v>
                </c:pt>
                <c:pt idx="165">
                  <c:v>46245</c:v>
                </c:pt>
                <c:pt idx="166">
                  <c:v>46245</c:v>
                </c:pt>
                <c:pt idx="167">
                  <c:v>46248</c:v>
                </c:pt>
                <c:pt idx="168">
                  <c:v>46253</c:v>
                </c:pt>
                <c:pt idx="169">
                  <c:v>46258</c:v>
                </c:pt>
                <c:pt idx="170">
                  <c:v>46260</c:v>
                </c:pt>
                <c:pt idx="171">
                  <c:v>46260</c:v>
                </c:pt>
                <c:pt idx="172">
                  <c:v>46261</c:v>
                </c:pt>
                <c:pt idx="173">
                  <c:v>46261</c:v>
                </c:pt>
                <c:pt idx="174">
                  <c:v>46261</c:v>
                </c:pt>
                <c:pt idx="175">
                  <c:v>46261</c:v>
                </c:pt>
                <c:pt idx="176">
                  <c:v>46262</c:v>
                </c:pt>
                <c:pt idx="177">
                  <c:v>46266</c:v>
                </c:pt>
                <c:pt idx="178">
                  <c:v>46268</c:v>
                </c:pt>
                <c:pt idx="179">
                  <c:v>46268</c:v>
                </c:pt>
                <c:pt idx="180">
                  <c:v>46268</c:v>
                </c:pt>
                <c:pt idx="181">
                  <c:v>46268</c:v>
                </c:pt>
                <c:pt idx="182">
                  <c:v>46268</c:v>
                </c:pt>
                <c:pt idx="183">
                  <c:v>46268</c:v>
                </c:pt>
                <c:pt idx="184">
                  <c:v>46268</c:v>
                </c:pt>
                <c:pt idx="185">
                  <c:v>46269</c:v>
                </c:pt>
                <c:pt idx="186">
                  <c:v>46273</c:v>
                </c:pt>
                <c:pt idx="187">
                  <c:v>46273</c:v>
                </c:pt>
                <c:pt idx="188">
                  <c:v>46274</c:v>
                </c:pt>
                <c:pt idx="189">
                  <c:v>46275</c:v>
                </c:pt>
                <c:pt idx="190">
                  <c:v>46275</c:v>
                </c:pt>
                <c:pt idx="191">
                  <c:v>46276</c:v>
                </c:pt>
                <c:pt idx="192">
                  <c:v>46276</c:v>
                </c:pt>
                <c:pt idx="193">
                  <c:v>46276</c:v>
                </c:pt>
                <c:pt idx="194">
                  <c:v>46279</c:v>
                </c:pt>
                <c:pt idx="195">
                  <c:v>46282</c:v>
                </c:pt>
                <c:pt idx="196">
                  <c:v>46282</c:v>
                </c:pt>
                <c:pt idx="197">
                  <c:v>46282</c:v>
                </c:pt>
                <c:pt idx="198">
                  <c:v>46282</c:v>
                </c:pt>
                <c:pt idx="199">
                  <c:v>46282</c:v>
                </c:pt>
                <c:pt idx="200">
                  <c:v>46282</c:v>
                </c:pt>
                <c:pt idx="201">
                  <c:v>46282</c:v>
                </c:pt>
                <c:pt idx="202">
                  <c:v>46282</c:v>
                </c:pt>
                <c:pt idx="203">
                  <c:v>46283</c:v>
                </c:pt>
                <c:pt idx="204">
                  <c:v>46287</c:v>
                </c:pt>
                <c:pt idx="205">
                  <c:v>46289</c:v>
                </c:pt>
                <c:pt idx="206">
                  <c:v>46294</c:v>
                </c:pt>
                <c:pt idx="207">
                  <c:v>46295</c:v>
                </c:pt>
              </c:numCache>
            </c:numRef>
          </c:xVal>
          <c:yVal>
            <c:numRef>
              <c:f>Plot!$H$49:$H$256</c:f>
              <c:numCache>
                <c:formatCode>\$#,##0.00</c:formatCode>
                <c:ptCount val="208"/>
                <c:pt idx="0">
                  <c:v>243.926581634096</c:v>
                </c:pt>
                <c:pt idx="1">
                  <c:v>920.030375606052</c:v>
                </c:pt>
                <c:pt idx="2">
                  <c:v>1897.60114572145</c:v>
                </c:pt>
                <c:pt idx="3">
                  <c:v>151.332608504011</c:v>
                </c:pt>
                <c:pt idx="4">
                  <c:v>127.748691099476</c:v>
                </c:pt>
                <c:pt idx="5">
                  <c:v>837.512014653343</c:v>
                </c:pt>
                <c:pt idx="6">
                  <c:v>1481.48148148148</c:v>
                </c:pt>
                <c:pt idx="7">
                  <c:v>263.63486571099</c:v>
                </c:pt>
                <c:pt idx="8">
                  <c:v>525.997417509287</c:v>
                </c:pt>
                <c:pt idx="9">
                  <c:v>2710.41369472183</c:v>
                </c:pt>
                <c:pt idx="10">
                  <c:v>188.976377952756</c:v>
                </c:pt>
                <c:pt idx="11">
                  <c:v>262.307204204909</c:v>
                </c:pt>
                <c:pt idx="12">
                  <c:v>1316.34561920809</c:v>
                </c:pt>
                <c:pt idx="13">
                  <c:v>245.859980120403</c:v>
                </c:pt>
                <c:pt idx="14">
                  <c:v>418.282658477504</c:v>
                </c:pt>
                <c:pt idx="15">
                  <c:v>98.4201111655156</c:v>
                </c:pt>
                <c:pt idx="16">
                  <c:v>801.666666666667</c:v>
                </c:pt>
                <c:pt idx="17">
                  <c:v>557.553956834532</c:v>
                </c:pt>
                <c:pt idx="18">
                  <c:v>109.347442680776</c:v>
                </c:pt>
                <c:pt idx="19">
                  <c:v>199.308062575211</c:v>
                </c:pt>
                <c:pt idx="20">
                  <c:v>998.968348945653</c:v>
                </c:pt>
                <c:pt idx="21">
                  <c:v>3629.09486104642</c:v>
                </c:pt>
                <c:pt idx="22">
                  <c:v>232.085871772556</c:v>
                </c:pt>
                <c:pt idx="23">
                  <c:v>306.666666666667</c:v>
                </c:pt>
                <c:pt idx="24">
                  <c:v>566.051610734737</c:v>
                </c:pt>
                <c:pt idx="25">
                  <c:v>387.596899224806</c:v>
                </c:pt>
                <c:pt idx="26">
                  <c:v>265.603713308644</c:v>
                </c:pt>
                <c:pt idx="27">
                  <c:v>780.891134588884</c:v>
                </c:pt>
                <c:pt idx="28">
                  <c:v>2193.73219373219</c:v>
                </c:pt>
                <c:pt idx="29">
                  <c:v>562.5</c:v>
                </c:pt>
                <c:pt idx="30">
                  <c:v>251.690846197532</c:v>
                </c:pt>
                <c:pt idx="31">
                  <c:v>949.266954962557</c:v>
                </c:pt>
                <c:pt idx="32">
                  <c:v>4454.52336599984</c:v>
                </c:pt>
                <c:pt idx="33">
                  <c:v>336.261031907671</c:v>
                </c:pt>
                <c:pt idx="34">
                  <c:v>2315.19761865388</c:v>
                </c:pt>
                <c:pt idx="35">
                  <c:v>77.8023172739325</c:v>
                </c:pt>
                <c:pt idx="36">
                  <c:v>291.293471513895</c:v>
                </c:pt>
                <c:pt idx="37">
                  <c:v>166.914482262854</c:v>
                </c:pt>
                <c:pt idx="38">
                  <c:v>238.715725811859</c:v>
                </c:pt>
                <c:pt idx="39">
                  <c:v>1915.32258064516</c:v>
                </c:pt>
                <c:pt idx="40">
                  <c:v>8232.62839879154</c:v>
                </c:pt>
                <c:pt idx="41">
                  <c:v>1692.86577992745</c:v>
                </c:pt>
                <c:pt idx="42">
                  <c:v>72.3684210526316</c:v>
                </c:pt>
                <c:pt idx="43">
                  <c:v>64.6130728775357</c:v>
                </c:pt>
                <c:pt idx="44">
                  <c:v>1045.22593772795</c:v>
                </c:pt>
                <c:pt idx="45">
                  <c:v>1176.47058823529</c:v>
                </c:pt>
                <c:pt idx="46">
                  <c:v>717.948717948718</c:v>
                </c:pt>
                <c:pt idx="47">
                  <c:v>3008.62760834671</c:v>
                </c:pt>
                <c:pt idx="48">
                  <c:v>216.907976790846</c:v>
                </c:pt>
                <c:pt idx="49">
                  <c:v>358.910891089109</c:v>
                </c:pt>
                <c:pt idx="50">
                  <c:v>3998.4006397441</c:v>
                </c:pt>
                <c:pt idx="51">
                  <c:v>780.705423114457</c:v>
                </c:pt>
                <c:pt idx="52">
                  <c:v>316.811273412353</c:v>
                </c:pt>
                <c:pt idx="53">
                  <c:v>1969.69696969697</c:v>
                </c:pt>
                <c:pt idx="54">
                  <c:v>955.223880597015</c:v>
                </c:pt>
                <c:pt idx="55">
                  <c:v>547.536087605774</c:v>
                </c:pt>
                <c:pt idx="56">
                  <c:v>552.646887725422</c:v>
                </c:pt>
                <c:pt idx="57">
                  <c:v>357.351225204201</c:v>
                </c:pt>
                <c:pt idx="58">
                  <c:v>448.217675595866</c:v>
                </c:pt>
                <c:pt idx="59">
                  <c:v>412.224951155975</c:v>
                </c:pt>
                <c:pt idx="60">
                  <c:v>651.170691656522</c:v>
                </c:pt>
                <c:pt idx="61">
                  <c:v>1093.02325581395</c:v>
                </c:pt>
                <c:pt idx="62">
                  <c:v>1032.53110340608</c:v>
                </c:pt>
                <c:pt idx="63">
                  <c:v>843.373493975904</c:v>
                </c:pt>
                <c:pt idx="64">
                  <c:v>3113.71841155235</c:v>
                </c:pt>
                <c:pt idx="65">
                  <c:v>808.563067919298</c:v>
                </c:pt>
                <c:pt idx="66">
                  <c:v>1024.14322832704</c:v>
                </c:pt>
                <c:pt idx="67">
                  <c:v>245.562983835817</c:v>
                </c:pt>
                <c:pt idx="68">
                  <c:v>73.6510804613504</c:v>
                </c:pt>
                <c:pt idx="69">
                  <c:v>35.1909579353622</c:v>
                </c:pt>
                <c:pt idx="70">
                  <c:v>3646.54002713704</c:v>
                </c:pt>
                <c:pt idx="71">
                  <c:v>937.5</c:v>
                </c:pt>
                <c:pt idx="72">
                  <c:v>103.030808206958</c:v>
                </c:pt>
                <c:pt idx="73">
                  <c:v>132.414483859649</c:v>
                </c:pt>
                <c:pt idx="74">
                  <c:v>104.286961294118</c:v>
                </c:pt>
                <c:pt idx="75">
                  <c:v>59.1378134736842</c:v>
                </c:pt>
                <c:pt idx="76">
                  <c:v>154.224100062933</c:v>
                </c:pt>
                <c:pt idx="77">
                  <c:v>158.057590300581</c:v>
                </c:pt>
                <c:pt idx="78">
                  <c:v>2738.69818045395</c:v>
                </c:pt>
                <c:pt idx="79">
                  <c:v>2045.92901878914</c:v>
                </c:pt>
                <c:pt idx="80">
                  <c:v>250.290631187789</c:v>
                </c:pt>
                <c:pt idx="81">
                  <c:v>218.28680385667</c:v>
                </c:pt>
                <c:pt idx="82">
                  <c:v>2640.84507042254</c:v>
                </c:pt>
                <c:pt idx="83">
                  <c:v>1462.91510216024</c:v>
                </c:pt>
                <c:pt idx="84">
                  <c:v>1174.07370421053</c:v>
                </c:pt>
                <c:pt idx="85">
                  <c:v>54.8591510321545</c:v>
                </c:pt>
                <c:pt idx="86">
                  <c:v>349.355148621503</c:v>
                </c:pt>
                <c:pt idx="87">
                  <c:v>4473.34394270937</c:v>
                </c:pt>
                <c:pt idx="88">
                  <c:v>4052.00223410636</c:v>
                </c:pt>
                <c:pt idx="89">
                  <c:v>62.8861788617886</c:v>
                </c:pt>
                <c:pt idx="90">
                  <c:v>459.046494852121</c:v>
                </c:pt>
                <c:pt idx="91">
                  <c:v>455.647115850703</c:v>
                </c:pt>
                <c:pt idx="92">
                  <c:v>394.304957585575</c:v>
                </c:pt>
                <c:pt idx="93">
                  <c:v>9012.48873438908</c:v>
                </c:pt>
                <c:pt idx="94">
                  <c:v>2297.0745776679</c:v>
                </c:pt>
                <c:pt idx="95">
                  <c:v>1787.87376362112</c:v>
                </c:pt>
                <c:pt idx="96">
                  <c:v>1424.50142450142</c:v>
                </c:pt>
                <c:pt idx="97">
                  <c:v>54.9756437021573</c:v>
                </c:pt>
                <c:pt idx="98">
                  <c:v>1390</c:v>
                </c:pt>
                <c:pt idx="99">
                  <c:v>892.453682783552</c:v>
                </c:pt>
                <c:pt idx="100">
                  <c:v>1327.33889959323</c:v>
                </c:pt>
                <c:pt idx="101">
                  <c:v>79.843385772353</c:v>
                </c:pt>
                <c:pt idx="102">
                  <c:v>1158.19209039548</c:v>
                </c:pt>
                <c:pt idx="103">
                  <c:v>497.434234901816</c:v>
                </c:pt>
                <c:pt idx="104">
                  <c:v>340.433023673959</c:v>
                </c:pt>
                <c:pt idx="105">
                  <c:v>35.3975794653544</c:v>
                </c:pt>
                <c:pt idx="106">
                  <c:v>631.201555280632</c:v>
                </c:pt>
                <c:pt idx="107">
                  <c:v>3242.14792299899</c:v>
                </c:pt>
                <c:pt idx="108">
                  <c:v>534.923757993114</c:v>
                </c:pt>
                <c:pt idx="109">
                  <c:v>190.856635596982</c:v>
                </c:pt>
                <c:pt idx="110">
                  <c:v>1062.23361172706</c:v>
                </c:pt>
                <c:pt idx="111">
                  <c:v>2208.5757379875</c:v>
                </c:pt>
                <c:pt idx="112">
                  <c:v>276.881983126486</c:v>
                </c:pt>
                <c:pt idx="113">
                  <c:v>277.524204702628</c:v>
                </c:pt>
                <c:pt idx="114">
                  <c:v>642.880102860817</c:v>
                </c:pt>
                <c:pt idx="115">
                  <c:v>319.085119146384</c:v>
                </c:pt>
                <c:pt idx="116">
                  <c:v>1116.84782608696</c:v>
                </c:pt>
                <c:pt idx="117">
                  <c:v>459.185625789225</c:v>
                </c:pt>
                <c:pt idx="118">
                  <c:v>349.635796045786</c:v>
                </c:pt>
                <c:pt idx="119">
                  <c:v>1182.34027279253</c:v>
                </c:pt>
                <c:pt idx="120">
                  <c:v>201.533896881823</c:v>
                </c:pt>
                <c:pt idx="121">
                  <c:v>393.004115226337</c:v>
                </c:pt>
                <c:pt idx="122">
                  <c:v>2500</c:v>
                </c:pt>
                <c:pt idx="123">
                  <c:v>618.429189857761</c:v>
                </c:pt>
                <c:pt idx="124">
                  <c:v>560.939885942223</c:v>
                </c:pt>
                <c:pt idx="125">
                  <c:v>5133.92857142857</c:v>
                </c:pt>
                <c:pt idx="126">
                  <c:v>279.794817134102</c:v>
                </c:pt>
                <c:pt idx="127">
                  <c:v>450.529008254854</c:v>
                </c:pt>
                <c:pt idx="128">
                  <c:v>446.511627906977</c:v>
                </c:pt>
                <c:pt idx="129">
                  <c:v>240.299823633157</c:v>
                </c:pt>
                <c:pt idx="130">
                  <c:v>191.093148355166</c:v>
                </c:pt>
                <c:pt idx="131">
                  <c:v>3698.11320754717</c:v>
                </c:pt>
                <c:pt idx="132">
                  <c:v>434.712234374639</c:v>
                </c:pt>
                <c:pt idx="133">
                  <c:v>54.9584396200814</c:v>
                </c:pt>
                <c:pt idx="134">
                  <c:v>972.432024169184</c:v>
                </c:pt>
                <c:pt idx="135">
                  <c:v>3268.68598823273</c:v>
                </c:pt>
                <c:pt idx="136">
                  <c:v>611.340206185567</c:v>
                </c:pt>
                <c:pt idx="137">
                  <c:v>97.4509393518519</c:v>
                </c:pt>
                <c:pt idx="138">
                  <c:v>1813.33333333333</c:v>
                </c:pt>
                <c:pt idx="139">
                  <c:v>138.69625520111</c:v>
                </c:pt>
                <c:pt idx="140">
                  <c:v>3412.96928327645</c:v>
                </c:pt>
                <c:pt idx="141">
                  <c:v>2425.59523809524</c:v>
                </c:pt>
                <c:pt idx="142">
                  <c:v>286.023500309215</c:v>
                </c:pt>
                <c:pt idx="143">
                  <c:v>546.269757938648</c:v>
                </c:pt>
                <c:pt idx="144">
                  <c:v>1485.46511627907</c:v>
                </c:pt>
                <c:pt idx="145">
                  <c:v>220</c:v>
                </c:pt>
                <c:pt idx="146">
                  <c:v>694.388804315894</c:v>
                </c:pt>
                <c:pt idx="147">
                  <c:v>192.460317460317</c:v>
                </c:pt>
                <c:pt idx="148">
                  <c:v>487.032752952636</c:v>
                </c:pt>
                <c:pt idx="149">
                  <c:v>144</c:v>
                </c:pt>
                <c:pt idx="150">
                  <c:v>1556.18199676008</c:v>
                </c:pt>
                <c:pt idx="151">
                  <c:v>794.146009416303</c:v>
                </c:pt>
                <c:pt idx="152">
                  <c:v>481.321341650703</c:v>
                </c:pt>
                <c:pt idx="153">
                  <c:v>212.974184486352</c:v>
                </c:pt>
                <c:pt idx="154">
                  <c:v>3388.15789473684</c:v>
                </c:pt>
                <c:pt idx="155">
                  <c:v>441.718062403719</c:v>
                </c:pt>
                <c:pt idx="156">
                  <c:v>1541.19114126097</c:v>
                </c:pt>
                <c:pt idx="157">
                  <c:v>235.752357523575</c:v>
                </c:pt>
                <c:pt idx="158">
                  <c:v>574.672028707501</c:v>
                </c:pt>
                <c:pt idx="159">
                  <c:v>689.655172413793</c:v>
                </c:pt>
                <c:pt idx="160">
                  <c:v>536.166573467978</c:v>
                </c:pt>
                <c:pt idx="161">
                  <c:v>137.640486999179</c:v>
                </c:pt>
                <c:pt idx="162">
                  <c:v>635.872280510515</c:v>
                </c:pt>
                <c:pt idx="163">
                  <c:v>824.296923212554</c:v>
                </c:pt>
                <c:pt idx="164">
                  <c:v>6041.22245913291</c:v>
                </c:pt>
                <c:pt idx="165">
                  <c:v>2882.20551378446</c:v>
                </c:pt>
                <c:pt idx="166">
                  <c:v>119.777158774373</c:v>
                </c:pt>
                <c:pt idx="167">
                  <c:v>854.832895617694</c:v>
                </c:pt>
                <c:pt idx="168">
                  <c:v>717.213114754098</c:v>
                </c:pt>
                <c:pt idx="169">
                  <c:v>2304.34782608696</c:v>
                </c:pt>
                <c:pt idx="170">
                  <c:v>1842.59670964873</c:v>
                </c:pt>
                <c:pt idx="171">
                  <c:v>46.9001743582953</c:v>
                </c:pt>
                <c:pt idx="172">
                  <c:v>563.90977443609</c:v>
                </c:pt>
                <c:pt idx="173">
                  <c:v>7331.37829912023</c:v>
                </c:pt>
                <c:pt idx="174">
                  <c:v>501.21359223301</c:v>
                </c:pt>
                <c:pt idx="175">
                  <c:v>61.2699591533606</c:v>
                </c:pt>
                <c:pt idx="176">
                  <c:v>700</c:v>
                </c:pt>
                <c:pt idx="177">
                  <c:v>1200.58608058608</c:v>
                </c:pt>
                <c:pt idx="178">
                  <c:v>1119.04761904762</c:v>
                </c:pt>
                <c:pt idx="179">
                  <c:v>52.8349699595435</c:v>
                </c:pt>
                <c:pt idx="180">
                  <c:v>348.729555555556</c:v>
                </c:pt>
                <c:pt idx="181">
                  <c:v>132.48995640653</c:v>
                </c:pt>
                <c:pt idx="182">
                  <c:v>840.950639853748</c:v>
                </c:pt>
                <c:pt idx="183">
                  <c:v>811.965811965812</c:v>
                </c:pt>
                <c:pt idx="184">
                  <c:v>757.575757575758</c:v>
                </c:pt>
                <c:pt idx="185">
                  <c:v>468.421052631579</c:v>
                </c:pt>
                <c:pt idx="186">
                  <c:v>1857.13418704861</c:v>
                </c:pt>
                <c:pt idx="187">
                  <c:v>1784.73866326716</c:v>
                </c:pt>
                <c:pt idx="188">
                  <c:v>244.081385404789</c:v>
                </c:pt>
                <c:pt idx="189">
                  <c:v>501.493679836531</c:v>
                </c:pt>
                <c:pt idx="190">
                  <c:v>111.372549019608</c:v>
                </c:pt>
                <c:pt idx="191">
                  <c:v>909.530882328399</c:v>
                </c:pt>
                <c:pt idx="192">
                  <c:v>250.545831991124</c:v>
                </c:pt>
                <c:pt idx="193">
                  <c:v>485.714285714286</c:v>
                </c:pt>
                <c:pt idx="194">
                  <c:v>2463.25118893212</c:v>
                </c:pt>
                <c:pt idx="195">
                  <c:v>1055.55555555556</c:v>
                </c:pt>
                <c:pt idx="196">
                  <c:v>967.774797106863</c:v>
                </c:pt>
                <c:pt idx="197">
                  <c:v>1088.9651531151</c:v>
                </c:pt>
                <c:pt idx="198">
                  <c:v>99.9019711907691</c:v>
                </c:pt>
                <c:pt idx="199">
                  <c:v>2416.67982941084</c:v>
                </c:pt>
                <c:pt idx="200">
                  <c:v>3416.66666666667</c:v>
                </c:pt>
                <c:pt idx="201">
                  <c:v>1031.60568546538</c:v>
                </c:pt>
                <c:pt idx="202">
                  <c:v>378.356387306753</c:v>
                </c:pt>
                <c:pt idx="203">
                  <c:v>2526.31578947368</c:v>
                </c:pt>
                <c:pt idx="204">
                  <c:v>489.795918367347</c:v>
                </c:pt>
                <c:pt idx="205">
                  <c:v>416.666666666667</c:v>
                </c:pt>
                <c:pt idx="206">
                  <c:v>433.911882510013</c:v>
                </c:pt>
                <c:pt idx="207">
                  <c:v>83.469610248024</c:v>
                </c:pt>
              </c:numCache>
            </c:numRef>
          </c:yVal>
          <c:smooth val="0"/>
        </c:ser>
        <c:axId val="49799966"/>
        <c:axId val="3878255"/>
      </c:scatterChart>
      <c:valAx>
        <c:axId val="49799966"/>
        <c:scaling>
          <c:orientation val="minMax"/>
          <c:max val="46296"/>
          <c:min val="46023"/>
        </c:scaling>
        <c:delete val="0"/>
        <c:axPos val="b"/>
        <c:title>
          <c:tx>
            <c:rich>
              <a:bodyPr rot="0"/>
              <a:lstStyle/>
              <a:p>
                <a:pPr>
                  <a:defRPr sz="1300" b="0" u="none" strike="noStrike">
                    <a:uFillTx/>
                    <a:latin typeface="Arial"/>
                  </a:defRPr>
                </a:pPr>
                <a:r>
                  <a:rPr lang="en-US" sz="1100" b="1" u="none" strike="noStrike">
                    <a:uFillTx/>
                    <a:latin typeface="Arial"/>
                  </a:rPr>
                  <a:t>Month</a:t>
                </a:r>
              </a:p>
            </c:rich>
          </c:tx>
          <c:overlay val="0"/>
          <c:spPr>
            <a:noFill/>
            <a:ln w="0">
              <a:noFill/>
            </a:ln>
          </c:spPr>
        </c:title>
        <c:numFmt formatCode="mmm\-yyyy" sourceLinked="0"/>
        <c:majorTickMark val="out"/>
        <c:minorTickMark val="none"/>
        <c:tickLblPos val="nextTo"/>
        <c:spPr>
          <a:ln w="0">
            <a:noFill/>
          </a:ln>
        </c:spPr>
        <c:txPr>
          <a:bodyPr/>
          <a:lstStyle/>
          <a:p>
            <a:pPr>
              <a:defRPr sz="1000" b="0" u="none" strike="noStrike">
                <a:uFillTx/>
                <a:latin typeface="Arial"/>
              </a:defRPr>
            </a:pPr>
          </a:p>
        </c:txPr>
        <c:crossAx val="3878255"/>
        <c:crosses val="min"/>
        <c:crossBetween val="midCat"/>
      </c:valAx>
      <c:valAx>
        <c:axId val="3878255"/>
        <c:scaling>
          <c:orientation val="minMax"/>
          <c:max val="2500"/>
          <c:min val="0"/>
        </c:scaling>
        <c:delete val="0"/>
        <c:axPos val="l"/>
        <c:title>
          <c:tx>
            <c:rich>
              <a:bodyPr rot="-5400000"/>
              <a:lstStyle/>
              <a:p>
                <a:pPr>
                  <a:defRPr sz="1300" b="0" u="none" strike="noStrike">
                    <a:uFillTx/>
                    <a:latin typeface="Arial"/>
                  </a:defRPr>
                </a:pPr>
                <a:r>
                  <a:rPr lang="en-US" sz="1100" b="1" u="none" strike="noStrike">
                    <a:uFillTx/>
                    <a:latin typeface="Arial"/>
                  </a:rPr>
                  <a:t>USD/sqft</a:t>
                </a:r>
              </a:p>
            </c:rich>
          </c:tx>
          <c:overlay val="0"/>
          <c:spPr>
            <a:noFill/>
            <a:ln w="0">
              <a:noFill/>
            </a:ln>
          </c:spPr>
        </c:title>
        <c:numFmt formatCode="\$#,##0" sourceLinked="0"/>
        <c:majorTickMark val="out"/>
        <c:minorTickMark val="none"/>
        <c:tickLblPos val="nextTo"/>
        <c:spPr>
          <a:ln w="0">
            <a:noFill/>
          </a:ln>
        </c:spPr>
        <c:txPr>
          <a:bodyPr/>
          <a:lstStyle/>
          <a:p>
            <a:pPr>
              <a:defRPr sz="1000" b="0" u="none" strike="noStrike">
                <a:uFillTx/>
                <a:latin typeface="Arial"/>
              </a:defRPr>
            </a:pPr>
          </a:p>
        </c:txPr>
        <c:crossAx val="49799966"/>
        <c:crosses val="min"/>
        <c:crossBetween val="midCat"/>
        <c:majorUnit val="500"/>
      </c:valAx>
      <c:spPr>
        <a:noFill/>
        <a:ln w="0">
          <a:noFill/>
        </a:ln>
      </c:spPr>
    </c:plotArea>
    <c:legend>
      <c:legendPos val="b"/>
      <c:overlay val="0"/>
      <c:spPr>
        <a:noFill/>
        <a:ln w="0">
          <a:noFill/>
        </a:ln>
      </c:spPr>
      <c:txPr>
        <a:bodyPr/>
        <a:lstStyle/>
        <a:p>
          <a:pPr>
            <a:defRPr sz="1000" b="0" u="none" strike="noStrike">
              <a:uFillTx/>
              <a:latin typeface="Arial"/>
            </a:defRPr>
          </a:pPr>
        </a:p>
      </c:txPr>
    </c:legend>
    <c:plotVisOnly val="1"/>
    <c:dispBlanksAs val="zero"/>
  </c:chart>
  <c:spPr>
    <a:no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5</xdr:col>
      <xdr:colOff>685440</xdr:colOff>
      <xdr:row>19</xdr:row>
      <xdr:rowOff>174960</xdr:rowOff>
    </xdr:to>
    <xdr:graphicFrame>
      <xdr:nvGraphicFramePr>
        <xdr:cNvPr id="1" name="Full range"/>
        <xdr:cNvGraphicFramePr/>
      </xdr:nvGraphicFramePr>
      <xdr:xfrm>
        <a:off x="0" y="0"/>
        <a:ext cx="6766200" cy="3794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22</xdr:row>
      <xdr:rowOff>0</xdr:rowOff>
    </xdr:from>
    <xdr:to>
      <xdr:col>5</xdr:col>
      <xdr:colOff>685440</xdr:colOff>
      <xdr:row>41</xdr:row>
      <xdr:rowOff>174960</xdr:rowOff>
    </xdr:to>
    <xdr:graphicFrame>
      <xdr:nvGraphicFramePr>
        <xdr:cNvPr id="2" name="Up to 2500"/>
        <xdr:cNvGraphicFramePr/>
      </xdr:nvGraphicFramePr>
      <xdr:xfrm>
        <a:off x="0" y="4191120"/>
        <a:ext cx="6766200" cy="3794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hercules.properties/research/nyc-biggest-sales/2026-01"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4:L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4" activeCellId="0" sqref="B14:D24"/>
    </sheetView>
  </sheetViews>
  <sheetFormatPr defaultColWidth="10.16015625" defaultRowHeight="12.8" customHeight="false" zeroHeight="false" outlineLevelRow="0" outlineLevelCol="0"/>
  <sheetData>
    <row r="4" customFormat="false" ht="12.8" hidden="false" customHeight="false" outlineLevel="0" collapsed="false">
      <c r="B4" s="0" t="s">
        <v>0</v>
      </c>
    </row>
    <row r="5" customFormat="false" ht="16.4" hidden="false" customHeight="false" outlineLevel="0" collapsed="false">
      <c r="B5" s="1" t="s">
        <v>1</v>
      </c>
    </row>
    <row r="8" customFormat="false" ht="41.75" hidden="false" customHeight="true" outlineLevel="0" collapsed="false">
      <c r="B8" s="2" t="s">
        <v>2</v>
      </c>
      <c r="C8" s="2"/>
      <c r="D8" s="2"/>
      <c r="E8" s="2"/>
      <c r="F8" s="2"/>
      <c r="G8" s="2"/>
      <c r="H8" s="2"/>
      <c r="I8" s="2"/>
      <c r="J8" s="2"/>
      <c r="K8" s="2"/>
      <c r="L8" s="2"/>
    </row>
    <row r="9" customFormat="false" ht="13.8" hidden="false" customHeight="false" outlineLevel="0" collapsed="false">
      <c r="B9" s="3" t="s">
        <v>3</v>
      </c>
    </row>
    <row r="13" customFormat="false" ht="12.8" hidden="false" customHeight="false" outlineLevel="0" collapsed="false">
      <c r="F13" s="0" t="n">
        <v>105000000</v>
      </c>
      <c r="G13" s="0" t="n">
        <v>106000</v>
      </c>
      <c r="H13" s="0" t="n">
        <f aca="false">F13/G13</f>
        <v>990.566037735849</v>
      </c>
    </row>
    <row r="14" customFormat="false" ht="13.8" hidden="false" customHeight="false" outlineLevel="0" collapsed="false"/>
    <row r="15" customFormat="false" ht="13.8" hidden="false" customHeight="false" outlineLevel="0" collapsed="false"/>
    <row r="16" customFormat="false" ht="13.8" hidden="false" customHeight="false" outlineLevel="0" collapsed="false"/>
    <row r="17" customFormat="false" ht="13.8" hidden="false" customHeight="false" outlineLevel="0" collapsed="false"/>
    <row r="18" customFormat="false" ht="13.8" hidden="false" customHeight="false" outlineLevel="0" collapsed="false">
      <c r="D18" s="3"/>
    </row>
    <row r="19" customFormat="false" ht="13.8" hidden="false" customHeight="false" outlineLevel="0" collapsed="false"/>
    <row r="20" customFormat="false" ht="13.8" hidden="false" customHeight="false" outlineLevel="0" collapsed="false"/>
    <row r="21" customFormat="false" ht="13.8" hidden="false" customHeight="false" outlineLevel="0" collapsed="false"/>
    <row r="22" customFormat="false" ht="13.8" hidden="false" customHeight="false" outlineLevel="0" collapsed="false"/>
    <row r="23" customFormat="false" ht="13.8" hidden="false" customHeight="false" outlineLevel="0" collapsed="false"/>
    <row r="24" customFormat="false" ht="13.8" hidden="false" customHeight="false" outlineLevel="0" collapsed="false"/>
  </sheetData>
  <mergeCells count="1">
    <mergeCell ref="B8:L8"/>
  </mergeCells>
  <hyperlinks>
    <hyperlink ref="B5" r:id="rId1" display="https://hercules.properties/research/nyc-biggest-sales/2026-01"/>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F14" activeCellId="1" sqref="B14:D24 F14"/>
    </sheetView>
  </sheetViews>
  <sheetFormatPr defaultColWidth="8.59765625" defaultRowHeight="15" customHeight="false"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3" min="3" style="0" width="40.94"/>
    <col collapsed="false" customWidth="true" hidden="false" outlineLevel="0" max="4" min="4" style="0" width="26"/>
    <col collapsed="false" customWidth="true" hidden="false" outlineLevel="0" max="5" min="5" style="0" width="14"/>
    <col collapsed="false" customWidth="true" hidden="false" outlineLevel="0" max="6" min="6" style="0" width="16"/>
  </cols>
  <sheetData>
    <row r="1" customFormat="false" ht="15" hidden="false" customHeight="false" outlineLevel="0" collapsed="false">
      <c r="A1" s="3" t="s">
        <v>4</v>
      </c>
      <c r="B1" s="3" t="s">
        <v>5</v>
      </c>
      <c r="C1" s="3" t="s">
        <v>6</v>
      </c>
      <c r="D1" s="3" t="s">
        <v>7</v>
      </c>
      <c r="E1" s="3" t="s">
        <v>8</v>
      </c>
      <c r="F1" s="3" t="s">
        <v>9</v>
      </c>
    </row>
    <row r="2" customFormat="false" ht="15" hidden="false" customHeight="false" outlineLevel="0" collapsed="false">
      <c r="A2" s="4" t="n">
        <v>46028</v>
      </c>
      <c r="B2" s="5" t="n">
        <v>55000000</v>
      </c>
      <c r="C2" s="6" t="s">
        <v>10</v>
      </c>
      <c r="D2" s="7" t="n">
        <v>76000</v>
      </c>
      <c r="E2" s="6" t="n">
        <v>1968</v>
      </c>
      <c r="F2" s="5" t="n">
        <f aca="false">IF(OR(D2="",D2=0),"",B2/D2)</f>
        <v>723.684210526316</v>
      </c>
    </row>
    <row r="3" customFormat="false" ht="15" hidden="false" customHeight="false" outlineLevel="0" collapsed="false">
      <c r="A3" s="4" t="n">
        <v>46028</v>
      </c>
      <c r="B3" s="5" t="n">
        <v>34500000</v>
      </c>
      <c r="C3" s="6" t="s">
        <v>11</v>
      </c>
      <c r="D3" s="7" t="n">
        <v>141436</v>
      </c>
      <c r="E3" s="6" t="n">
        <v>1926</v>
      </c>
      <c r="F3" s="5" t="n">
        <f aca="false">IF(OR(D3="",D3=0),"",B3/D3)</f>
        <v>243.926581634096</v>
      </c>
    </row>
    <row r="4" customFormat="false" ht="15" hidden="false" customHeight="false" outlineLevel="0" collapsed="false">
      <c r="A4" s="4" t="n">
        <v>46028</v>
      </c>
      <c r="B4" s="5" t="n">
        <v>2200000</v>
      </c>
      <c r="C4" s="6" t="s">
        <v>12</v>
      </c>
      <c r="D4" s="7" t="n">
        <v>8082</v>
      </c>
      <c r="E4" s="6" t="n">
        <v>1955</v>
      </c>
      <c r="F4" s="5" t="n">
        <f aca="false">IF(OR(D4="",D4=0),"",B4/D4)</f>
        <v>272.209849047266</v>
      </c>
    </row>
    <row r="5" customFormat="false" ht="15" hidden="false" customHeight="false" outlineLevel="0" collapsed="false">
      <c r="A5" s="4" t="n">
        <v>46029</v>
      </c>
      <c r="B5" s="5" t="n">
        <v>63000000</v>
      </c>
      <c r="C5" s="6" t="s">
        <v>13</v>
      </c>
      <c r="D5" s="7" t="n">
        <v>68476</v>
      </c>
      <c r="E5" s="6" t="n">
        <v>1930</v>
      </c>
      <c r="F5" s="5" t="n">
        <f aca="false">IF(OR(D5="",D5=0),"",B5/D5)</f>
        <v>920.030375606052</v>
      </c>
    </row>
    <row r="6" customFormat="false" ht="15" hidden="false" customHeight="false" outlineLevel="0" collapsed="false">
      <c r="A6" s="4" t="n">
        <v>46030</v>
      </c>
      <c r="B6" s="5" t="n">
        <v>71000000</v>
      </c>
      <c r="C6" s="6" t="s">
        <v>14</v>
      </c>
      <c r="D6" s="7" t="n">
        <v>66893</v>
      </c>
      <c r="E6" s="6" t="n">
        <v>2008</v>
      </c>
      <c r="F6" s="5" t="n">
        <f aca="false">IF(OR(D6="",D6=0),"",B6/D6)</f>
        <v>1061.39655868327</v>
      </c>
    </row>
    <row r="7" customFormat="false" ht="15" hidden="false" customHeight="false" outlineLevel="0" collapsed="false">
      <c r="A7" s="4" t="n">
        <v>46031</v>
      </c>
      <c r="B7" s="5" t="n">
        <v>55635125</v>
      </c>
      <c r="C7" s="6" t="s">
        <v>15</v>
      </c>
      <c r="D7" s="7" t="n">
        <v>469906</v>
      </c>
      <c r="E7" s="6" t="n">
        <v>2019</v>
      </c>
      <c r="F7" s="5" t="n">
        <f aca="false">IF(OR(D7="",D7=0),"",B7/D7)</f>
        <v>118.396285640107</v>
      </c>
    </row>
    <row r="8" customFormat="false" ht="15" hidden="false" customHeight="false" outlineLevel="0" collapsed="false">
      <c r="A8" s="4" t="n">
        <v>46031</v>
      </c>
      <c r="B8" s="5" t="n">
        <v>15192560.85</v>
      </c>
      <c r="C8" s="6" t="s">
        <v>16</v>
      </c>
      <c r="D8" s="7" t="n">
        <v>72248</v>
      </c>
      <c r="E8" s="6" t="n">
        <v>1970</v>
      </c>
      <c r="F8" s="5" t="n">
        <f aca="false">IF(OR(D8="",D8=0),"",B8/D8)</f>
        <v>210.283479819511</v>
      </c>
    </row>
    <row r="9" customFormat="false" ht="15" hidden="false" customHeight="false" outlineLevel="0" collapsed="false">
      <c r="A9" s="4" t="n">
        <v>46034</v>
      </c>
      <c r="B9" s="5" t="n">
        <v>53000000</v>
      </c>
      <c r="C9" s="6" t="s">
        <v>17</v>
      </c>
      <c r="D9" s="7" t="n">
        <v>27930</v>
      </c>
      <c r="E9" s="6" t="n">
        <v>1900</v>
      </c>
      <c r="F9" s="5" t="n">
        <f aca="false">IF(OR(D9="",D9=0),"",B9/D9)</f>
        <v>1897.60114572145</v>
      </c>
    </row>
    <row r="10" customFormat="false" ht="15" hidden="false" customHeight="false" outlineLevel="0" collapsed="false">
      <c r="A10" s="4" t="n">
        <v>46034</v>
      </c>
      <c r="B10" s="5" t="n">
        <v>30985004</v>
      </c>
      <c r="C10" s="6" t="s">
        <v>18</v>
      </c>
      <c r="D10" s="7"/>
      <c r="E10" s="6"/>
      <c r="F10" s="5" t="str">
        <f aca="false">IF(OR(D10="",D10=0),"",B10/D10)</f>
        <v/>
      </c>
    </row>
    <row r="11" customFormat="false" ht="15" hidden="false" customHeight="false" outlineLevel="0" collapsed="false">
      <c r="A11" s="4" t="n">
        <v>46035</v>
      </c>
      <c r="B11" s="5" t="n">
        <v>297797455.71</v>
      </c>
      <c r="C11" s="6" t="s">
        <v>19</v>
      </c>
      <c r="D11" s="7" t="n">
        <v>1591806</v>
      </c>
      <c r="E11" s="6" t="n">
        <v>2006</v>
      </c>
      <c r="F11" s="5" t="n">
        <f aca="false">IF(OR(D11="",D11=0),"",B11/D11)</f>
        <v>187.081500955518</v>
      </c>
    </row>
    <row r="12" customFormat="false" ht="15" hidden="false" customHeight="false" outlineLevel="0" collapsed="false">
      <c r="A12" s="4" t="n">
        <v>46035</v>
      </c>
      <c r="B12" s="5" t="n">
        <v>141000000</v>
      </c>
      <c r="C12" s="6" t="s">
        <v>20</v>
      </c>
      <c r="D12" s="7" t="n">
        <v>283465</v>
      </c>
      <c r="E12" s="6" t="n">
        <v>1955</v>
      </c>
      <c r="F12" s="5" t="n">
        <f aca="false">IF(OR(D12="",D12=0),"",B12/D12)</f>
        <v>497.415906725698</v>
      </c>
    </row>
    <row r="13" customFormat="false" ht="15" hidden="false" customHeight="false" outlineLevel="0" collapsed="false">
      <c r="A13" s="4" t="n">
        <v>46035</v>
      </c>
      <c r="B13" s="5" t="n">
        <v>109708310.14</v>
      </c>
      <c r="C13" s="6" t="s">
        <v>19</v>
      </c>
      <c r="D13" s="7" t="n">
        <v>1591806</v>
      </c>
      <c r="E13" s="6" t="n">
        <v>2006</v>
      </c>
      <c r="F13" s="5" t="n">
        <f aca="false">IF(OR(D13="",D13=0),"",B13/D13)</f>
        <v>68.9206537354426</v>
      </c>
    </row>
    <row r="14" customFormat="false" ht="15" hidden="false" customHeight="false" outlineLevel="0" collapsed="false">
      <c r="A14" s="8" t="n">
        <v>46035</v>
      </c>
      <c r="B14" s="9" t="n">
        <v>105000000</v>
      </c>
      <c r="C14" s="10" t="s">
        <v>21</v>
      </c>
      <c r="D14" s="11" t="n">
        <v>106516</v>
      </c>
      <c r="E14" s="10" t="n">
        <v>2024</v>
      </c>
      <c r="F14" s="9" t="n">
        <f aca="false">IF(OR(D14="",D14=0),"",B14/D14)</f>
        <v>985.767396447482</v>
      </c>
    </row>
    <row r="15" customFormat="false" ht="15" hidden="false" customHeight="false" outlineLevel="0" collapsed="false">
      <c r="A15" s="4" t="n">
        <v>46035</v>
      </c>
      <c r="B15" s="5" t="n">
        <v>5150000</v>
      </c>
      <c r="C15" s="6" t="s">
        <v>22</v>
      </c>
      <c r="D15" s="7" t="n">
        <v>34031</v>
      </c>
      <c r="E15" s="6" t="n">
        <v>1927</v>
      </c>
      <c r="F15" s="5" t="n">
        <f aca="false">IF(OR(D15="",D15=0),"",B15/D15)</f>
        <v>151.332608504011</v>
      </c>
    </row>
    <row r="16" customFormat="false" ht="15" hidden="false" customHeight="false" outlineLevel="0" collapsed="false">
      <c r="A16" s="4" t="n">
        <v>46035</v>
      </c>
      <c r="B16" s="5" t="n">
        <v>3050000</v>
      </c>
      <c r="C16" s="6" t="s">
        <v>23</v>
      </c>
      <c r="D16" s="7" t="n">
        <v>23875</v>
      </c>
      <c r="E16" s="6" t="n">
        <v>1927</v>
      </c>
      <c r="F16" s="5" t="n">
        <f aca="false">IF(OR(D16="",D16=0),"",B16/D16)</f>
        <v>127.748691099476</v>
      </c>
    </row>
    <row r="17" customFormat="false" ht="15" hidden="false" customHeight="false" outlineLevel="0" collapsed="false">
      <c r="A17" s="4" t="n">
        <v>46036</v>
      </c>
      <c r="B17" s="5" t="n">
        <v>53000000</v>
      </c>
      <c r="C17" s="6" t="s">
        <v>24</v>
      </c>
      <c r="D17" s="7"/>
      <c r="E17" s="6"/>
      <c r="F17" s="5" t="str">
        <f aca="false">IF(OR(D17="",D17=0),"",B17/D17)</f>
        <v/>
      </c>
    </row>
    <row r="18" customFormat="false" ht="15" hidden="false" customHeight="false" outlineLevel="0" collapsed="false">
      <c r="A18" s="4" t="n">
        <v>46037</v>
      </c>
      <c r="B18" s="5" t="n">
        <v>46181250</v>
      </c>
      <c r="C18" s="6" t="s">
        <v>25</v>
      </c>
      <c r="D18" s="7" t="n">
        <v>55141</v>
      </c>
      <c r="E18" s="6" t="n">
        <v>1915</v>
      </c>
      <c r="F18" s="5" t="n">
        <f aca="false">IF(OR(D18="",D18=0),"",B18/D18)</f>
        <v>837.512014653343</v>
      </c>
    </row>
    <row r="19" customFormat="false" ht="15" hidden="false" customHeight="false" outlineLevel="0" collapsed="false">
      <c r="A19" s="4" t="n">
        <v>46038</v>
      </c>
      <c r="B19" s="5" t="n">
        <v>50700000</v>
      </c>
      <c r="C19" s="6" t="s">
        <v>26</v>
      </c>
      <c r="D19" s="7" t="n">
        <v>2101982</v>
      </c>
      <c r="E19" s="6" t="n">
        <v>2004</v>
      </c>
      <c r="F19" s="5" t="n">
        <f aca="false">IF(OR(D19="",D19=0),"",B19/D19)</f>
        <v>24.1200923699632</v>
      </c>
    </row>
    <row r="20" customFormat="false" ht="15" hidden="false" customHeight="false" outlineLevel="0" collapsed="false">
      <c r="A20" s="4" t="n">
        <v>46042</v>
      </c>
      <c r="B20" s="5" t="n">
        <v>10000000</v>
      </c>
      <c r="C20" s="6" t="s">
        <v>27</v>
      </c>
      <c r="D20" s="7" t="n">
        <v>6750</v>
      </c>
      <c r="E20" s="6" t="n">
        <v>1913</v>
      </c>
      <c r="F20" s="5" t="n">
        <f aca="false">IF(OR(D20="",D20=0),"",B20/D20)</f>
        <v>1481.48148148148</v>
      </c>
    </row>
    <row r="21" customFormat="false" ht="15" hidden="false" customHeight="false" outlineLevel="0" collapsed="false">
      <c r="A21" s="4" t="n">
        <v>46043</v>
      </c>
      <c r="B21" s="5" t="n">
        <v>77002366</v>
      </c>
      <c r="C21" s="6" t="s">
        <v>28</v>
      </c>
      <c r="D21" s="7" t="n">
        <v>77202</v>
      </c>
      <c r="E21" s="6" t="n">
        <v>2023</v>
      </c>
      <c r="F21" s="5" t="n">
        <f aca="false">IF(OR(D21="",D21=0),"",B21/D21)</f>
        <v>997.414134348851</v>
      </c>
    </row>
    <row r="22" customFormat="false" ht="15" hidden="false" customHeight="false" outlineLevel="0" collapsed="false">
      <c r="A22" s="4" t="n">
        <v>46043</v>
      </c>
      <c r="B22" s="5" t="n">
        <v>20000000</v>
      </c>
      <c r="C22" s="6" t="s">
        <v>29</v>
      </c>
      <c r="D22" s="7" t="n">
        <v>20544</v>
      </c>
      <c r="E22" s="6" t="n">
        <v>1994</v>
      </c>
      <c r="F22" s="5" t="n">
        <f aca="false">IF(OR(D22="",D22=0),"",B22/D22)</f>
        <v>973.520249221184</v>
      </c>
    </row>
    <row r="23" customFormat="false" ht="15" hidden="false" customHeight="false" outlineLevel="0" collapsed="false">
      <c r="A23" s="4" t="n">
        <v>46043</v>
      </c>
      <c r="B23" s="5" t="n">
        <v>7200000</v>
      </c>
      <c r="C23" s="6" t="s">
        <v>30</v>
      </c>
      <c r="D23" s="7" t="n">
        <v>28926</v>
      </c>
      <c r="E23" s="6" t="n">
        <v>1964</v>
      </c>
      <c r="F23" s="5" t="n">
        <f aca="false">IF(OR(D23="",D23=0),"",B23/D23)</f>
        <v>248.911014312383</v>
      </c>
    </row>
    <row r="24" customFormat="false" ht="15" hidden="false" customHeight="false" outlineLevel="0" collapsed="false">
      <c r="A24" s="4" t="n">
        <v>46043</v>
      </c>
      <c r="B24" s="5" t="n">
        <v>4800000</v>
      </c>
      <c r="C24" s="6" t="s">
        <v>31</v>
      </c>
      <c r="D24" s="7" t="n">
        <v>18207</v>
      </c>
      <c r="E24" s="6" t="n">
        <v>1922</v>
      </c>
      <c r="F24" s="5" t="n">
        <f aca="false">IF(OR(D24="",D24=0),"",B24/D24)</f>
        <v>263.63486571099</v>
      </c>
    </row>
    <row r="25" customFormat="false" ht="15" hidden="false" customHeight="false" outlineLevel="0" collapsed="false">
      <c r="A25" s="4" t="n">
        <v>46044</v>
      </c>
      <c r="B25" s="5" t="n">
        <v>52956368</v>
      </c>
      <c r="C25" s="6" t="s">
        <v>32</v>
      </c>
      <c r="D25" s="7" t="n">
        <v>100678</v>
      </c>
      <c r="E25" s="6" t="n">
        <v>1906</v>
      </c>
      <c r="F25" s="5" t="n">
        <f aca="false">IF(OR(D25="",D25=0),"",B25/D25)</f>
        <v>525.997417509287</v>
      </c>
    </row>
    <row r="26" customFormat="false" ht="15" hidden="false" customHeight="false" outlineLevel="0" collapsed="false">
      <c r="A26" s="4" t="n">
        <v>46044</v>
      </c>
      <c r="B26" s="5" t="n">
        <v>43700000</v>
      </c>
      <c r="C26" s="6" t="s">
        <v>33</v>
      </c>
      <c r="D26" s="7" t="n">
        <v>16123</v>
      </c>
      <c r="E26" s="6" t="n">
        <v>1890</v>
      </c>
      <c r="F26" s="5" t="n">
        <f aca="false">IF(OR(D26="",D26=0),"",B26/D26)</f>
        <v>2710.41369472183</v>
      </c>
    </row>
    <row r="27" customFormat="false" ht="15" hidden="false" customHeight="false" outlineLevel="0" collapsed="false">
      <c r="A27" s="4" t="n">
        <v>46044</v>
      </c>
      <c r="B27" s="5" t="n">
        <v>9163690</v>
      </c>
      <c r="C27" s="6" t="s">
        <v>34</v>
      </c>
      <c r="D27" s="7"/>
      <c r="E27" s="6"/>
      <c r="F27" s="5" t="str">
        <f aca="false">IF(OR(D27="",D27=0),"",B27/D27)</f>
        <v/>
      </c>
    </row>
    <row r="28" customFormat="false" ht="15" hidden="false" customHeight="false" outlineLevel="0" collapsed="false">
      <c r="A28" s="4" t="n">
        <v>46044</v>
      </c>
      <c r="B28" s="5" t="n">
        <v>2400000</v>
      </c>
      <c r="C28" s="6" t="s">
        <v>35</v>
      </c>
      <c r="D28" s="7" t="n">
        <v>12700</v>
      </c>
      <c r="E28" s="6" t="n">
        <v>1931</v>
      </c>
      <c r="F28" s="5" t="n">
        <f aca="false">IF(OR(D28="",D28=0),"",B28/D28)</f>
        <v>188.976377952756</v>
      </c>
    </row>
    <row r="29" customFormat="false" ht="15" hidden="false" customHeight="false" outlineLevel="0" collapsed="false">
      <c r="A29" s="4" t="n">
        <v>46048</v>
      </c>
      <c r="B29" s="5" t="n">
        <v>145523540</v>
      </c>
      <c r="C29" s="6" t="s">
        <v>36</v>
      </c>
      <c r="D29" s="7" t="n">
        <v>168034</v>
      </c>
      <c r="E29" s="6" t="n">
        <v>2019</v>
      </c>
      <c r="F29" s="5" t="n">
        <f aca="false">IF(OR(D29="",D29=0),"",B29/D29)</f>
        <v>866.036278372234</v>
      </c>
    </row>
    <row r="30" customFormat="false" ht="15" hidden="false" customHeight="false" outlineLevel="0" collapsed="false">
      <c r="A30" s="4" t="n">
        <v>46048</v>
      </c>
      <c r="B30" s="5" t="n">
        <v>119681966</v>
      </c>
      <c r="C30" s="6" t="s">
        <v>37</v>
      </c>
      <c r="D30" s="7" t="n">
        <v>245910</v>
      </c>
      <c r="E30" s="6" t="n">
        <v>2020</v>
      </c>
      <c r="F30" s="5" t="n">
        <f aca="false">IF(OR(D30="",D30=0),"",B30/D30)</f>
        <v>486.690114269448</v>
      </c>
    </row>
    <row r="31" customFormat="false" ht="15" hidden="false" customHeight="false" outlineLevel="0" collapsed="false">
      <c r="A31" s="4" t="n">
        <v>46048</v>
      </c>
      <c r="B31" s="5" t="n">
        <v>100741078</v>
      </c>
      <c r="C31" s="6" t="s">
        <v>38</v>
      </c>
      <c r="D31" s="7" t="n">
        <v>158669</v>
      </c>
      <c r="E31" s="6" t="n">
        <v>2019</v>
      </c>
      <c r="F31" s="5" t="n">
        <f aca="false">IF(OR(D31="",D31=0),"",B31/D31)</f>
        <v>634.913423542091</v>
      </c>
    </row>
    <row r="32" customFormat="false" ht="15" hidden="false" customHeight="false" outlineLevel="0" collapsed="false">
      <c r="A32" s="4" t="n">
        <v>46048</v>
      </c>
      <c r="B32" s="5" t="n">
        <v>88339886</v>
      </c>
      <c r="C32" s="6" t="s">
        <v>39</v>
      </c>
      <c r="D32" s="7" t="n">
        <v>109735</v>
      </c>
      <c r="E32" s="6" t="n">
        <v>2021</v>
      </c>
      <c r="F32" s="5" t="n">
        <f aca="false">IF(OR(D32="",D32=0),"",B32/D32)</f>
        <v>805.02926140247</v>
      </c>
    </row>
    <row r="33" customFormat="false" ht="15" hidden="false" customHeight="false" outlineLevel="0" collapsed="false">
      <c r="A33" s="4" t="n">
        <v>46048</v>
      </c>
      <c r="B33" s="5" t="n">
        <v>84687153</v>
      </c>
      <c r="C33" s="6" t="s">
        <v>40</v>
      </c>
      <c r="D33" s="7" t="n">
        <v>154782</v>
      </c>
      <c r="E33" s="6" t="n">
        <v>2020</v>
      </c>
      <c r="F33" s="5" t="n">
        <f aca="false">IF(OR(D33="",D33=0),"",B33/D33)</f>
        <v>547.138252509982</v>
      </c>
    </row>
    <row r="34" customFormat="false" ht="15" hidden="false" customHeight="false" outlineLevel="0" collapsed="false">
      <c r="A34" s="4" t="n">
        <v>46048</v>
      </c>
      <c r="B34" s="5" t="n">
        <v>75651652</v>
      </c>
      <c r="C34" s="6" t="s">
        <v>41</v>
      </c>
      <c r="D34" s="7" t="n">
        <v>111391</v>
      </c>
      <c r="E34" s="6" t="n">
        <v>2011</v>
      </c>
      <c r="F34" s="5" t="n">
        <f aca="false">IF(OR(D34="",D34=0),"",B34/D34)</f>
        <v>679.154078875313</v>
      </c>
    </row>
    <row r="35" customFormat="false" ht="15" hidden="false" customHeight="false" outlineLevel="0" collapsed="false">
      <c r="A35" s="4" t="n">
        <v>46048</v>
      </c>
      <c r="B35" s="5" t="n">
        <v>71749825</v>
      </c>
      <c r="C35" s="6" t="s">
        <v>42</v>
      </c>
      <c r="D35" s="7" t="n">
        <v>102056</v>
      </c>
      <c r="E35" s="6" t="n">
        <v>2021</v>
      </c>
      <c r="F35" s="5" t="n">
        <f aca="false">IF(OR(D35="",D35=0),"",B35/D35)</f>
        <v>703.043672101591</v>
      </c>
    </row>
    <row r="36" customFormat="false" ht="15" hidden="false" customHeight="false" outlineLevel="0" collapsed="false">
      <c r="A36" s="4" t="n">
        <v>46048</v>
      </c>
      <c r="B36" s="5" t="n">
        <v>57002671</v>
      </c>
      <c r="C36" s="6" t="s">
        <v>43</v>
      </c>
      <c r="D36" s="7" t="n">
        <v>76888</v>
      </c>
      <c r="E36" s="6" t="n">
        <v>2020</v>
      </c>
      <c r="F36" s="5" t="n">
        <f aca="false">IF(OR(D36="",D36=0),"",B36/D36)</f>
        <v>741.37278899178</v>
      </c>
    </row>
    <row r="37" customFormat="false" ht="15" hidden="false" customHeight="false" outlineLevel="0" collapsed="false">
      <c r="A37" s="4" t="n">
        <v>46048</v>
      </c>
      <c r="B37" s="5" t="n">
        <v>30184181</v>
      </c>
      <c r="C37" s="6" t="s">
        <v>44</v>
      </c>
      <c r="D37" s="7" t="n">
        <v>61951</v>
      </c>
      <c r="E37" s="6" t="n">
        <v>2019</v>
      </c>
      <c r="F37" s="5" t="n">
        <f aca="false">IF(OR(D37="",D37=0),"",B37/D37)</f>
        <v>487.22669529144</v>
      </c>
    </row>
    <row r="38" customFormat="false" ht="15" hidden="false" customHeight="false" outlineLevel="0" collapsed="false">
      <c r="A38" s="4" t="n">
        <v>46048</v>
      </c>
      <c r="B38" s="5" t="n">
        <v>26716323</v>
      </c>
      <c r="C38" s="6" t="s">
        <v>45</v>
      </c>
      <c r="D38" s="7" t="n">
        <v>54858</v>
      </c>
      <c r="E38" s="6" t="n">
        <v>1958</v>
      </c>
      <c r="F38" s="5" t="n">
        <f aca="false">IF(OR(D38="",D38=0),"",B38/D38)</f>
        <v>487.008695176638</v>
      </c>
    </row>
    <row r="39" customFormat="false" ht="15" hidden="false" customHeight="false" outlineLevel="0" collapsed="false">
      <c r="A39" s="4" t="n">
        <v>46048</v>
      </c>
      <c r="B39" s="5" t="n">
        <v>24692433</v>
      </c>
      <c r="C39" s="6" t="s">
        <v>46</v>
      </c>
      <c r="D39" s="7" t="n">
        <v>35589</v>
      </c>
      <c r="E39" s="6" t="n">
        <v>2018</v>
      </c>
      <c r="F39" s="5" t="n">
        <f aca="false">IF(OR(D39="",D39=0),"",B39/D39)</f>
        <v>693.822051757566</v>
      </c>
    </row>
    <row r="40" customFormat="false" ht="15" hidden="false" customHeight="false" outlineLevel="0" collapsed="false">
      <c r="A40" s="4" t="n">
        <v>46049</v>
      </c>
      <c r="B40" s="5" t="n">
        <v>105000000</v>
      </c>
      <c r="C40" s="6" t="s">
        <v>47</v>
      </c>
      <c r="D40" s="7" t="n">
        <v>400294</v>
      </c>
      <c r="E40" s="6" t="n">
        <v>1907</v>
      </c>
      <c r="F40" s="5" t="n">
        <f aca="false">IF(OR(D40="",D40=0),"",B40/D40)</f>
        <v>262.307204204909</v>
      </c>
    </row>
    <row r="41" customFormat="false" ht="15" hidden="false" customHeight="false" outlineLevel="0" collapsed="false">
      <c r="A41" s="4" t="n">
        <v>46050</v>
      </c>
      <c r="B41" s="5" t="n">
        <v>112250000</v>
      </c>
      <c r="C41" s="6" t="s">
        <v>48</v>
      </c>
      <c r="D41" s="7" t="n">
        <v>122416</v>
      </c>
      <c r="E41" s="6" t="n">
        <v>1989</v>
      </c>
      <c r="F41" s="5" t="n">
        <f aca="false">IF(OR(D41="",D41=0),"",B41/D41)</f>
        <v>916.95529996079</v>
      </c>
    </row>
    <row r="42" customFormat="false" ht="15" hidden="false" customHeight="false" outlineLevel="0" collapsed="false">
      <c r="A42" s="4" t="n">
        <v>46050</v>
      </c>
      <c r="B42" s="5" t="n">
        <v>2780000</v>
      </c>
      <c r="C42" s="6" t="s">
        <v>49</v>
      </c>
      <c r="D42" s="7"/>
      <c r="E42" s="6"/>
      <c r="F42" s="5" t="str">
        <f aca="false">IF(OR(D42="",D42=0),"",B42/D42)</f>
        <v/>
      </c>
    </row>
    <row r="43" customFormat="false" ht="15" hidden="false" customHeight="false" outlineLevel="0" collapsed="false">
      <c r="A43" s="4" t="n">
        <v>46051</v>
      </c>
      <c r="B43" s="5" t="n">
        <v>2125000</v>
      </c>
      <c r="C43" s="6" t="s">
        <v>50</v>
      </c>
      <c r="D43" s="7" t="n">
        <v>1505</v>
      </c>
      <c r="E43" s="6" t="n">
        <v>1970</v>
      </c>
      <c r="F43" s="5" t="n">
        <f aca="false">IF(OR(D43="",D43=0),"",B43/D43)</f>
        <v>1411.96013289037</v>
      </c>
    </row>
    <row r="44" customFormat="false" ht="15" hidden="false" customHeight="false" outlineLevel="0" collapsed="false">
      <c r="A44" s="4" t="n">
        <v>46055</v>
      </c>
      <c r="B44" s="5" t="n">
        <v>29500000</v>
      </c>
      <c r="C44" s="6" t="s">
        <v>51</v>
      </c>
      <c r="D44" s="7" t="n">
        <v>525820</v>
      </c>
      <c r="E44" s="6" t="n">
        <v>2015</v>
      </c>
      <c r="F44" s="5" t="n">
        <f aca="false">IF(OR(D44="",D44=0),"",B44/D44)</f>
        <v>56.1028488836484</v>
      </c>
    </row>
    <row r="45" customFormat="false" ht="15" hidden="false" customHeight="false" outlineLevel="0" collapsed="false">
      <c r="A45" s="4" t="n">
        <v>46055</v>
      </c>
      <c r="B45" s="5" t="n">
        <v>12500018</v>
      </c>
      <c r="C45" s="6" t="s">
        <v>52</v>
      </c>
      <c r="D45" s="7" t="n">
        <v>9496</v>
      </c>
      <c r="E45" s="6" t="n">
        <v>1920</v>
      </c>
      <c r="F45" s="5" t="n">
        <f aca="false">IF(OR(D45="",D45=0),"",B45/D45)</f>
        <v>1316.34561920809</v>
      </c>
    </row>
    <row r="46" customFormat="false" ht="15" hidden="false" customHeight="false" outlineLevel="0" collapsed="false">
      <c r="A46" s="4" t="n">
        <v>46055</v>
      </c>
      <c r="B46" s="5" t="n">
        <v>7745625</v>
      </c>
      <c r="C46" s="6" t="s">
        <v>53</v>
      </c>
      <c r="D46" s="7" t="n">
        <v>13000</v>
      </c>
      <c r="E46" s="6" t="n">
        <v>1957</v>
      </c>
      <c r="F46" s="5" t="n">
        <f aca="false">IF(OR(D46="",D46=0),"",B46/D46)</f>
        <v>595.817307692308</v>
      </c>
    </row>
    <row r="47" customFormat="false" ht="15" hidden="false" customHeight="false" outlineLevel="0" collapsed="false">
      <c r="A47" s="4" t="n">
        <v>46058</v>
      </c>
      <c r="B47" s="5" t="n">
        <v>26219000</v>
      </c>
      <c r="C47" s="6" t="s">
        <v>54</v>
      </c>
      <c r="D47" s="7" t="n">
        <v>106642</v>
      </c>
      <c r="E47" s="6" t="n">
        <v>1924</v>
      </c>
      <c r="F47" s="5" t="n">
        <f aca="false">IF(OR(D47="",D47=0),"",B47/D47)</f>
        <v>245.859980120403</v>
      </c>
    </row>
    <row r="48" customFormat="false" ht="15" hidden="false" customHeight="false" outlineLevel="0" collapsed="false">
      <c r="A48" s="4" t="n">
        <v>46062</v>
      </c>
      <c r="B48" s="5" t="n">
        <v>31600000</v>
      </c>
      <c r="C48" s="6" t="s">
        <v>55</v>
      </c>
      <c r="D48" s="7" t="n">
        <v>75547</v>
      </c>
      <c r="E48" s="6" t="n">
        <v>1931</v>
      </c>
      <c r="F48" s="5" t="n">
        <f aca="false">IF(OR(D48="",D48=0),"",B48/D48)</f>
        <v>418.282658477504</v>
      </c>
    </row>
    <row r="49" customFormat="false" ht="15" hidden="false" customHeight="false" outlineLevel="0" collapsed="false">
      <c r="A49" s="4" t="n">
        <v>46062</v>
      </c>
      <c r="B49" s="5" t="n">
        <v>19360000</v>
      </c>
      <c r="C49" s="6" t="s">
        <v>56</v>
      </c>
      <c r="D49" s="7"/>
      <c r="E49" s="6"/>
      <c r="F49" s="5" t="str">
        <f aca="false">IF(OR(D49="",D49=0),"",B49/D49)</f>
        <v/>
      </c>
    </row>
    <row r="50" customFormat="false" ht="15" hidden="false" customHeight="false" outlineLevel="0" collapsed="false">
      <c r="A50" s="4" t="n">
        <v>46063</v>
      </c>
      <c r="B50" s="5" t="n">
        <v>40000000</v>
      </c>
      <c r="C50" s="6" t="s">
        <v>57</v>
      </c>
      <c r="D50" s="7" t="n">
        <v>406421</v>
      </c>
      <c r="E50" s="6" t="n">
        <v>1921</v>
      </c>
      <c r="F50" s="5" t="n">
        <f aca="false">IF(OR(D50="",D50=0),"",B50/D50)</f>
        <v>98.4201111655156</v>
      </c>
    </row>
    <row r="51" customFormat="false" ht="15" hidden="false" customHeight="false" outlineLevel="0" collapsed="false">
      <c r="A51" s="4" t="n">
        <v>46063</v>
      </c>
      <c r="B51" s="5" t="n">
        <v>37250000</v>
      </c>
      <c r="C51" s="6" t="s">
        <v>58</v>
      </c>
      <c r="D51" s="7" t="n">
        <v>396613</v>
      </c>
      <c r="E51" s="6" t="n">
        <v>2015</v>
      </c>
      <c r="F51" s="5" t="n">
        <f aca="false">IF(OR(D51="",D51=0),"",B51/D51)</f>
        <v>93.9202698852534</v>
      </c>
    </row>
    <row r="52" customFormat="false" ht="15" hidden="false" customHeight="false" outlineLevel="0" collapsed="false">
      <c r="A52" s="4" t="n">
        <v>46064</v>
      </c>
      <c r="B52" s="5" t="n">
        <v>24777215</v>
      </c>
      <c r="C52" s="6" t="s">
        <v>59</v>
      </c>
      <c r="D52" s="7" t="n">
        <v>695701</v>
      </c>
      <c r="E52" s="6" t="n">
        <v>2005</v>
      </c>
      <c r="F52" s="5" t="n">
        <f aca="false">IF(OR(D52="",D52=0),"",B52/D52)</f>
        <v>35.6147468524553</v>
      </c>
    </row>
    <row r="53" customFormat="false" ht="15" hidden="false" customHeight="false" outlineLevel="0" collapsed="false">
      <c r="A53" s="4" t="n">
        <v>46064</v>
      </c>
      <c r="B53" s="5" t="n">
        <v>24050000</v>
      </c>
      <c r="C53" s="6" t="s">
        <v>60</v>
      </c>
      <c r="D53" s="7" t="n">
        <v>30000</v>
      </c>
      <c r="E53" s="6" t="n">
        <v>1931</v>
      </c>
      <c r="F53" s="5" t="n">
        <f aca="false">IF(OR(D53="",D53=0),"",B53/D53)</f>
        <v>801.666666666667</v>
      </c>
    </row>
    <row r="54" customFormat="false" ht="15" hidden="false" customHeight="false" outlineLevel="0" collapsed="false">
      <c r="A54" s="4" t="n">
        <v>46064</v>
      </c>
      <c r="B54" s="5" t="n">
        <v>15500000</v>
      </c>
      <c r="C54" s="6" t="s">
        <v>61</v>
      </c>
      <c r="D54" s="7" t="n">
        <v>27800</v>
      </c>
      <c r="E54" s="6" t="n">
        <v>1920</v>
      </c>
      <c r="F54" s="5" t="n">
        <f aca="false">IF(OR(D54="",D54=0),"",B54/D54)</f>
        <v>557.553956834532</v>
      </c>
    </row>
    <row r="55" customFormat="false" ht="15" hidden="false" customHeight="false" outlineLevel="0" collapsed="false">
      <c r="A55" s="4" t="n">
        <v>46065</v>
      </c>
      <c r="B55" s="5" t="n">
        <v>5886675</v>
      </c>
      <c r="C55" s="6" t="s">
        <v>62</v>
      </c>
      <c r="D55" s="7" t="n">
        <v>121676</v>
      </c>
      <c r="E55" s="6" t="n">
        <v>2024</v>
      </c>
      <c r="F55" s="5" t="n">
        <f aca="false">IF(OR(D55="",D55=0),"",B55/D55)</f>
        <v>48.3799188007495</v>
      </c>
    </row>
    <row r="56" customFormat="false" ht="15" hidden="false" customHeight="false" outlineLevel="0" collapsed="false">
      <c r="A56" s="4" t="n">
        <v>46065</v>
      </c>
      <c r="B56" s="5" t="n">
        <v>4740000</v>
      </c>
      <c r="C56" s="6" t="s">
        <v>63</v>
      </c>
      <c r="D56" s="7"/>
      <c r="E56" s="6"/>
      <c r="F56" s="5" t="str">
        <f aca="false">IF(OR(D56="",D56=0),"",B56/D56)</f>
        <v/>
      </c>
    </row>
    <row r="57" customFormat="false" ht="15" hidden="false" customHeight="false" outlineLevel="0" collapsed="false">
      <c r="A57" s="4" t="n">
        <v>46065</v>
      </c>
      <c r="B57" s="5" t="n">
        <v>4650000</v>
      </c>
      <c r="C57" s="6" t="s">
        <v>64</v>
      </c>
      <c r="D57" s="7" t="n">
        <v>42525</v>
      </c>
      <c r="E57" s="6" t="n">
        <v>1921</v>
      </c>
      <c r="F57" s="5" t="n">
        <f aca="false">IF(OR(D57="",D57=0),"",B57/D57)</f>
        <v>109.347442680776</v>
      </c>
    </row>
    <row r="58" customFormat="false" ht="15" hidden="false" customHeight="false" outlineLevel="0" collapsed="false">
      <c r="A58" s="4" t="n">
        <v>46066</v>
      </c>
      <c r="B58" s="5" t="n">
        <v>57000000</v>
      </c>
      <c r="C58" s="6" t="s">
        <v>65</v>
      </c>
      <c r="D58" s="7" t="n">
        <v>153485</v>
      </c>
      <c r="E58" s="6" t="n">
        <v>2016</v>
      </c>
      <c r="F58" s="5" t="n">
        <f aca="false">IF(OR(D58="",D58=0),"",B58/D58)</f>
        <v>371.371795289442</v>
      </c>
    </row>
    <row r="59" customFormat="false" ht="15" hidden="false" customHeight="false" outlineLevel="0" collapsed="false">
      <c r="A59" s="4" t="n">
        <v>46066</v>
      </c>
      <c r="B59" s="5" t="n">
        <v>26500000</v>
      </c>
      <c r="C59" s="6" t="s">
        <v>66</v>
      </c>
      <c r="D59" s="7" t="n">
        <v>132960</v>
      </c>
      <c r="E59" s="6" t="n">
        <v>1941</v>
      </c>
      <c r="F59" s="5" t="n">
        <f aca="false">IF(OR(D59="",D59=0),"",B59/D59)</f>
        <v>199.308062575211</v>
      </c>
    </row>
    <row r="60" customFormat="false" ht="15" hidden="false" customHeight="false" outlineLevel="0" collapsed="false">
      <c r="A60" s="4" t="n">
        <v>46070</v>
      </c>
      <c r="B60" s="5" t="n">
        <v>121040000</v>
      </c>
      <c r="C60" s="6" t="s">
        <v>67</v>
      </c>
      <c r="D60" s="7" t="n">
        <v>121165</v>
      </c>
      <c r="E60" s="6" t="n">
        <v>1914</v>
      </c>
      <c r="F60" s="5" t="n">
        <f aca="false">IF(OR(D60="",D60=0),"",B60/D60)</f>
        <v>998.968348945653</v>
      </c>
    </row>
    <row r="61" customFormat="false" ht="15" hidden="false" customHeight="false" outlineLevel="0" collapsed="false">
      <c r="A61" s="4" t="n">
        <v>46070</v>
      </c>
      <c r="B61" s="5" t="n">
        <v>52500000</v>
      </c>
      <c r="C61" s="6" t="s">
        <v>68</v>
      </c>
      <c r="D61" s="7" t="n">
        <v>584590</v>
      </c>
      <c r="E61" s="6" t="n">
        <v>2012</v>
      </c>
      <c r="F61" s="5" t="n">
        <f aca="false">IF(OR(D61="",D61=0),"",B61/D61)</f>
        <v>89.8065310730597</v>
      </c>
    </row>
    <row r="62" customFormat="false" ht="15" hidden="false" customHeight="false" outlineLevel="0" collapsed="false">
      <c r="A62" s="4" t="n">
        <v>46070</v>
      </c>
      <c r="B62" s="5" t="n">
        <v>46750000</v>
      </c>
      <c r="C62" s="6" t="s">
        <v>69</v>
      </c>
      <c r="D62" s="7" t="n">
        <v>12882</v>
      </c>
      <c r="E62" s="6" t="n">
        <v>1930</v>
      </c>
      <c r="F62" s="5" t="n">
        <f aca="false">IF(OR(D62="",D62=0),"",B62/D62)</f>
        <v>3629.09486104642</v>
      </c>
    </row>
    <row r="63" customFormat="false" ht="15" hidden="false" customHeight="false" outlineLevel="0" collapsed="false">
      <c r="A63" s="4" t="n">
        <v>46070</v>
      </c>
      <c r="B63" s="5" t="n">
        <v>8000000</v>
      </c>
      <c r="C63" s="6" t="s">
        <v>70</v>
      </c>
      <c r="D63" s="7" t="n">
        <v>34470</v>
      </c>
      <c r="E63" s="6" t="n">
        <v>1926</v>
      </c>
      <c r="F63" s="5" t="n">
        <f aca="false">IF(OR(D63="",D63=0),"",B63/D63)</f>
        <v>232.085871772556</v>
      </c>
    </row>
    <row r="64" customFormat="false" ht="15" hidden="false" customHeight="false" outlineLevel="0" collapsed="false">
      <c r="A64" s="4" t="n">
        <v>46070</v>
      </c>
      <c r="B64" s="5" t="n">
        <v>4600000</v>
      </c>
      <c r="C64" s="6" t="s">
        <v>71</v>
      </c>
      <c r="D64" s="7" t="n">
        <v>15000</v>
      </c>
      <c r="E64" s="6" t="n">
        <v>1931</v>
      </c>
      <c r="F64" s="5" t="n">
        <f aca="false">IF(OR(D64="",D64=0),"",B64/D64)</f>
        <v>306.666666666667</v>
      </c>
    </row>
    <row r="65" customFormat="false" ht="15" hidden="false" customHeight="false" outlineLevel="0" collapsed="false">
      <c r="A65" s="4" t="n">
        <v>46071</v>
      </c>
      <c r="B65" s="5" t="n">
        <v>183566575</v>
      </c>
      <c r="C65" s="6" t="s">
        <v>72</v>
      </c>
      <c r="D65" s="7" t="n">
        <v>324293</v>
      </c>
      <c r="E65" s="6" t="n">
        <v>1931</v>
      </c>
      <c r="F65" s="5" t="n">
        <f aca="false">IF(OR(D65="",D65=0),"",B65/D65)</f>
        <v>566.051610734737</v>
      </c>
    </row>
    <row r="66" customFormat="false" ht="15" hidden="false" customHeight="false" outlineLevel="0" collapsed="false">
      <c r="A66" s="4" t="n">
        <v>46071</v>
      </c>
      <c r="B66" s="5" t="n">
        <v>100000000</v>
      </c>
      <c r="C66" s="6" t="s">
        <v>73</v>
      </c>
      <c r="D66" s="7" t="n">
        <v>258000</v>
      </c>
      <c r="E66" s="6" t="n">
        <v>1900</v>
      </c>
      <c r="F66" s="5" t="n">
        <f aca="false">IF(OR(D66="",D66=0),"",B66/D66)</f>
        <v>387.596899224806</v>
      </c>
    </row>
    <row r="67" customFormat="false" ht="15" hidden="false" customHeight="false" outlineLevel="0" collapsed="false">
      <c r="A67" s="4" t="n">
        <v>46071</v>
      </c>
      <c r="B67" s="5" t="n">
        <v>86133425</v>
      </c>
      <c r="C67" s="6" t="s">
        <v>72</v>
      </c>
      <c r="D67" s="7" t="n">
        <v>324293</v>
      </c>
      <c r="E67" s="6" t="n">
        <v>1931</v>
      </c>
      <c r="F67" s="5" t="n">
        <f aca="false">IF(OR(D67="",D67=0),"",B67/D67)</f>
        <v>265.603713308644</v>
      </c>
    </row>
    <row r="68" customFormat="false" ht="15" hidden="false" customHeight="false" outlineLevel="0" collapsed="false">
      <c r="A68" s="4" t="n">
        <v>46071</v>
      </c>
      <c r="B68" s="5" t="n">
        <v>24247062.5</v>
      </c>
      <c r="C68" s="6" t="s">
        <v>15</v>
      </c>
      <c r="D68" s="7" t="n">
        <v>469906</v>
      </c>
      <c r="E68" s="6" t="n">
        <v>2019</v>
      </c>
      <c r="F68" s="5" t="n">
        <f aca="false">IF(OR(D68="",D68=0),"",B68/D68)</f>
        <v>51.5998146437798</v>
      </c>
    </row>
    <row r="69" customFormat="false" ht="15" hidden="false" customHeight="false" outlineLevel="0" collapsed="false">
      <c r="A69" s="4" t="n">
        <v>46071</v>
      </c>
      <c r="B69" s="5" t="n">
        <v>17000000</v>
      </c>
      <c r="C69" s="6" t="s">
        <v>74</v>
      </c>
      <c r="D69" s="7" t="n">
        <v>21770</v>
      </c>
      <c r="E69" s="6" t="n">
        <v>1920</v>
      </c>
      <c r="F69" s="5" t="n">
        <f aca="false">IF(OR(D69="",D69=0),"",B69/D69)</f>
        <v>780.891134588884</v>
      </c>
    </row>
    <row r="70" customFormat="false" ht="15" hidden="false" customHeight="false" outlineLevel="0" collapsed="false">
      <c r="A70" s="4" t="n">
        <v>46072</v>
      </c>
      <c r="B70" s="5" t="n">
        <v>143000000</v>
      </c>
      <c r="C70" s="6" t="s">
        <v>75</v>
      </c>
      <c r="D70" s="7"/>
      <c r="E70" s="6"/>
      <c r="F70" s="5" t="str">
        <f aca="false">IF(OR(D70="",D70=0),"",B70/D70)</f>
        <v/>
      </c>
    </row>
    <row r="71" customFormat="false" ht="15" hidden="false" customHeight="false" outlineLevel="0" collapsed="false">
      <c r="A71" s="4" t="n">
        <v>46072</v>
      </c>
      <c r="B71" s="5" t="n">
        <v>92000000</v>
      </c>
      <c r="C71" s="6" t="s">
        <v>76</v>
      </c>
      <c r="D71" s="7" t="n">
        <v>252890</v>
      </c>
      <c r="E71" s="6" t="n">
        <v>2023</v>
      </c>
      <c r="F71" s="5" t="n">
        <f aca="false">IF(OR(D71="",D71=0),"",B71/D71)</f>
        <v>363.794535173396</v>
      </c>
    </row>
    <row r="72" customFormat="false" ht="15" hidden="false" customHeight="false" outlineLevel="0" collapsed="false">
      <c r="A72" s="4" t="n">
        <v>46072</v>
      </c>
      <c r="B72" s="5" t="n">
        <v>15400000</v>
      </c>
      <c r="C72" s="6" t="s">
        <v>77</v>
      </c>
      <c r="D72" s="7" t="n">
        <v>7020</v>
      </c>
      <c r="E72" s="6" t="n">
        <v>1940</v>
      </c>
      <c r="F72" s="5" t="n">
        <f aca="false">IF(OR(D72="",D72=0),"",B72/D72)</f>
        <v>2193.73219373219</v>
      </c>
    </row>
    <row r="73" customFormat="false" ht="15" hidden="false" customHeight="false" outlineLevel="0" collapsed="false">
      <c r="A73" s="4" t="n">
        <v>46073</v>
      </c>
      <c r="B73" s="5" t="n">
        <v>10000000</v>
      </c>
      <c r="C73" s="6" t="s">
        <v>78</v>
      </c>
      <c r="D73" s="7" t="n">
        <v>9500</v>
      </c>
      <c r="E73" s="6" t="n">
        <v>2007</v>
      </c>
      <c r="F73" s="5" t="n">
        <f aca="false">IF(OR(D73="",D73=0),"",B73/D73)</f>
        <v>1052.63157894737</v>
      </c>
    </row>
    <row r="74" customFormat="false" ht="15" hidden="false" customHeight="false" outlineLevel="0" collapsed="false">
      <c r="A74" s="4" t="n">
        <v>46073</v>
      </c>
      <c r="B74" s="5" t="n">
        <v>5625000</v>
      </c>
      <c r="C74" s="6" t="s">
        <v>79</v>
      </c>
      <c r="D74" s="7" t="n">
        <v>10000</v>
      </c>
      <c r="E74" s="6" t="n">
        <v>1938</v>
      </c>
      <c r="F74" s="5" t="n">
        <f aca="false">IF(OR(D74="",D74=0),"",B74/D74)</f>
        <v>562.5</v>
      </c>
    </row>
    <row r="75" customFormat="false" ht="15" hidden="false" customHeight="false" outlineLevel="0" collapsed="false">
      <c r="A75" s="4" t="n">
        <v>46077</v>
      </c>
      <c r="B75" s="5" t="n">
        <v>53000000</v>
      </c>
      <c r="C75" s="6" t="s">
        <v>80</v>
      </c>
      <c r="D75" s="7"/>
      <c r="E75" s="6"/>
      <c r="F75" s="5" t="str">
        <f aca="false">IF(OR(D75="",D75=0),"",B75/D75)</f>
        <v/>
      </c>
    </row>
    <row r="76" customFormat="false" ht="15" hidden="false" customHeight="false" outlineLevel="0" collapsed="false">
      <c r="A76" s="4" t="n">
        <v>46077</v>
      </c>
      <c r="B76" s="5" t="n">
        <v>9750000</v>
      </c>
      <c r="C76" s="6" t="s">
        <v>81</v>
      </c>
      <c r="D76" s="7" t="n">
        <v>38738</v>
      </c>
      <c r="E76" s="6" t="n">
        <v>1931</v>
      </c>
      <c r="F76" s="5" t="n">
        <f aca="false">IF(OR(D76="",D76=0),"",B76/D76)</f>
        <v>251.690846197532</v>
      </c>
    </row>
    <row r="77" customFormat="false" ht="15" hidden="false" customHeight="false" outlineLevel="0" collapsed="false">
      <c r="A77" s="4" t="n">
        <v>46077</v>
      </c>
      <c r="B77" s="5" t="n">
        <v>7539075</v>
      </c>
      <c r="C77" s="6" t="s">
        <v>82</v>
      </c>
      <c r="D77" s="7" t="n">
        <v>3510</v>
      </c>
      <c r="E77" s="6" t="n">
        <v>1958</v>
      </c>
      <c r="F77" s="5" t="n">
        <f aca="false">IF(OR(D77="",D77=0),"",B77/D77)</f>
        <v>2147.88461538462</v>
      </c>
    </row>
    <row r="78" customFormat="false" ht="15" hidden="false" customHeight="false" outlineLevel="0" collapsed="false">
      <c r="A78" s="4" t="n">
        <v>46078</v>
      </c>
      <c r="B78" s="5" t="n">
        <v>9000000</v>
      </c>
      <c r="C78" s="6" t="s">
        <v>83</v>
      </c>
      <c r="D78" s="7" t="n">
        <v>9481</v>
      </c>
      <c r="E78" s="6" t="n">
        <v>1931</v>
      </c>
      <c r="F78" s="5" t="n">
        <f aca="false">IF(OR(D78="",D78=0),"",B78/D78)</f>
        <v>949.266954962557</v>
      </c>
    </row>
    <row r="79" customFormat="false" ht="15" hidden="false" customHeight="false" outlineLevel="0" collapsed="false">
      <c r="A79" s="4" t="n">
        <v>46078</v>
      </c>
      <c r="B79" s="5" t="n">
        <v>6000000</v>
      </c>
      <c r="C79" s="6" t="s">
        <v>84</v>
      </c>
      <c r="D79" s="7" t="n">
        <v>20400</v>
      </c>
      <c r="E79" s="6" t="n">
        <v>1954</v>
      </c>
      <c r="F79" s="5" t="n">
        <f aca="false">IF(OR(D79="",D79=0),"",B79/D79)</f>
        <v>294.117647058824</v>
      </c>
    </row>
    <row r="80" customFormat="false" ht="15" hidden="false" customHeight="false" outlineLevel="0" collapsed="false">
      <c r="A80" s="4" t="n">
        <v>46079</v>
      </c>
      <c r="B80" s="5" t="n">
        <v>55000000</v>
      </c>
      <c r="C80" s="6" t="s">
        <v>85</v>
      </c>
      <c r="D80" s="7" t="n">
        <v>12347</v>
      </c>
      <c r="E80" s="6" t="n">
        <v>1903</v>
      </c>
      <c r="F80" s="5" t="n">
        <f aca="false">IF(OR(D80="",D80=0),"",B80/D80)</f>
        <v>4454.52336599984</v>
      </c>
    </row>
    <row r="81" customFormat="false" ht="15" hidden="false" customHeight="false" outlineLevel="0" collapsed="false">
      <c r="A81" s="4" t="n">
        <v>46079</v>
      </c>
      <c r="B81" s="5" t="n">
        <v>24051781.08</v>
      </c>
      <c r="C81" s="6" t="s">
        <v>86</v>
      </c>
      <c r="D81" s="7" t="n">
        <v>142600</v>
      </c>
      <c r="E81" s="6" t="n">
        <v>1967</v>
      </c>
      <c r="F81" s="5" t="n">
        <f aca="false">IF(OR(D81="",D81=0),"",B81/D81)</f>
        <v>168.666066479663</v>
      </c>
    </row>
    <row r="82" customFormat="false" ht="15" hidden="false" customHeight="false" outlineLevel="0" collapsed="false">
      <c r="A82" s="4" t="n">
        <v>46079</v>
      </c>
      <c r="B82" s="5" t="n">
        <v>15850000</v>
      </c>
      <c r="C82" s="6" t="s">
        <v>87</v>
      </c>
      <c r="D82" s="7" t="n">
        <v>47136</v>
      </c>
      <c r="E82" s="6" t="n">
        <v>1923</v>
      </c>
      <c r="F82" s="5" t="n">
        <f aca="false">IF(OR(D82="",D82=0),"",B82/D82)</f>
        <v>336.261031907671</v>
      </c>
    </row>
    <row r="83" customFormat="false" ht="15" hidden="false" customHeight="false" outlineLevel="0" collapsed="false">
      <c r="A83" s="4" t="n">
        <v>46079</v>
      </c>
      <c r="B83" s="5" t="n">
        <v>14000000</v>
      </c>
      <c r="C83" s="6" t="s">
        <v>88</v>
      </c>
      <c r="D83" s="7" t="n">
        <v>6047</v>
      </c>
      <c r="E83" s="6" t="n">
        <v>1846</v>
      </c>
      <c r="F83" s="5" t="n">
        <f aca="false">IF(OR(D83="",D83=0),"",B83/D83)</f>
        <v>2315.19761865388</v>
      </c>
    </row>
    <row r="84" customFormat="false" ht="15" hidden="false" customHeight="false" outlineLevel="0" collapsed="false">
      <c r="A84" s="4" t="n">
        <v>46079</v>
      </c>
      <c r="B84" s="5" t="n">
        <v>10680857.72</v>
      </c>
      <c r="C84" s="6" t="s">
        <v>89</v>
      </c>
      <c r="D84" s="7" t="n">
        <v>137282</v>
      </c>
      <c r="E84" s="6" t="n">
        <v>1929</v>
      </c>
      <c r="F84" s="5" t="n">
        <f aca="false">IF(OR(D84="",D84=0),"",B84/D84)</f>
        <v>77.8023172739325</v>
      </c>
    </row>
    <row r="85" customFormat="false" ht="15" hidden="false" customHeight="false" outlineLevel="0" collapsed="false">
      <c r="A85" s="4" t="n">
        <v>46079</v>
      </c>
      <c r="B85" s="5" t="n">
        <v>10680857.72</v>
      </c>
      <c r="C85" s="6" t="s">
        <v>90</v>
      </c>
      <c r="D85" s="7" t="n">
        <v>36667</v>
      </c>
      <c r="E85" s="6" t="n">
        <v>1924</v>
      </c>
      <c r="F85" s="5" t="n">
        <f aca="false">IF(OR(D85="",D85=0),"",B85/D85)</f>
        <v>291.293471513895</v>
      </c>
    </row>
    <row r="86" customFormat="false" ht="15" hidden="false" customHeight="false" outlineLevel="0" collapsed="false">
      <c r="A86" s="4" t="n">
        <v>46079</v>
      </c>
      <c r="B86" s="5" t="n">
        <v>10680857.72</v>
      </c>
      <c r="C86" s="6" t="s">
        <v>91</v>
      </c>
      <c r="D86" s="7" t="n">
        <v>63990</v>
      </c>
      <c r="E86" s="6" t="n">
        <v>1927</v>
      </c>
      <c r="F86" s="5" t="n">
        <f aca="false">IF(OR(D86="",D86=0),"",B86/D86)</f>
        <v>166.914482262854</v>
      </c>
    </row>
    <row r="87" customFormat="false" ht="15" hidden="false" customHeight="false" outlineLevel="0" collapsed="false">
      <c r="A87" s="4" t="n">
        <v>46079</v>
      </c>
      <c r="B87" s="5" t="n">
        <v>10680857.72</v>
      </c>
      <c r="C87" s="6" t="s">
        <v>92</v>
      </c>
      <c r="D87" s="7" t="n">
        <v>44743</v>
      </c>
      <c r="E87" s="6" t="n">
        <v>1925</v>
      </c>
      <c r="F87" s="5" t="n">
        <f aca="false">IF(OR(D87="",D87=0),"",B87/D87)</f>
        <v>238.715725811859</v>
      </c>
    </row>
    <row r="88" customFormat="false" ht="15" hidden="false" customHeight="false" outlineLevel="0" collapsed="false">
      <c r="A88" s="4" t="n">
        <v>46080</v>
      </c>
      <c r="B88" s="5" t="n">
        <v>254739510</v>
      </c>
      <c r="C88" s="6" t="s">
        <v>93</v>
      </c>
      <c r="D88" s="7" t="n">
        <v>238600</v>
      </c>
      <c r="E88" s="6" t="n">
        <v>1994</v>
      </c>
      <c r="F88" s="5" t="n">
        <f aca="false">IF(OR(D88="",D88=0),"",B88/D88)</f>
        <v>1067.64253981559</v>
      </c>
    </row>
    <row r="89" customFormat="false" ht="15" hidden="false" customHeight="false" outlineLevel="0" collapsed="false">
      <c r="A89" s="4" t="n">
        <v>46080</v>
      </c>
      <c r="B89" s="5" t="n">
        <v>156638716</v>
      </c>
      <c r="C89" s="6" t="s">
        <v>94</v>
      </c>
      <c r="D89" s="7" t="n">
        <v>29659</v>
      </c>
      <c r="E89" s="6" t="n">
        <v>2019</v>
      </c>
      <c r="F89" s="5" t="n">
        <f aca="false">IF(OR(D89="",D89=0),"",B89/D89)</f>
        <v>5281.3215550086</v>
      </c>
    </row>
    <row r="90" customFormat="false" ht="15" hidden="false" customHeight="false" outlineLevel="0" collapsed="false">
      <c r="A90" s="4" t="n">
        <v>46080</v>
      </c>
      <c r="B90" s="5" t="n">
        <v>15000000</v>
      </c>
      <c r="C90" s="6" t="s">
        <v>95</v>
      </c>
      <c r="D90" s="7"/>
      <c r="E90" s="6"/>
      <c r="F90" s="5" t="str">
        <f aca="false">IF(OR(D90="",D90=0),"",B90/D90)</f>
        <v/>
      </c>
    </row>
    <row r="91" customFormat="false" ht="15" hidden="false" customHeight="false" outlineLevel="0" collapsed="false">
      <c r="A91" s="4" t="n">
        <v>46080</v>
      </c>
      <c r="B91" s="5" t="n">
        <v>9500000</v>
      </c>
      <c r="C91" s="6" t="s">
        <v>96</v>
      </c>
      <c r="D91" s="7" t="n">
        <v>4960</v>
      </c>
      <c r="E91" s="6" t="n">
        <v>1885</v>
      </c>
      <c r="F91" s="5" t="n">
        <f aca="false">IF(OR(D91="",D91=0),"",B91/D91)</f>
        <v>1915.32258064516</v>
      </c>
    </row>
    <row r="92" customFormat="false" ht="15" hidden="false" customHeight="false" outlineLevel="0" collapsed="false">
      <c r="A92" s="4" t="n">
        <v>46084</v>
      </c>
      <c r="B92" s="5" t="n">
        <v>54500000</v>
      </c>
      <c r="C92" s="6" t="s">
        <v>97</v>
      </c>
      <c r="D92" s="7" t="n">
        <v>6620</v>
      </c>
      <c r="E92" s="6" t="n">
        <v>1879</v>
      </c>
      <c r="F92" s="5" t="n">
        <f aca="false">IF(OR(D92="",D92=0),"",B92/D92)</f>
        <v>8232.62839879154</v>
      </c>
    </row>
    <row r="93" customFormat="false" ht="15" hidden="false" customHeight="false" outlineLevel="0" collapsed="false">
      <c r="A93" s="4" t="n">
        <v>46085</v>
      </c>
      <c r="B93" s="5" t="n">
        <v>29660410</v>
      </c>
      <c r="C93" s="6" t="s">
        <v>98</v>
      </c>
      <c r="D93" s="7"/>
      <c r="E93" s="6"/>
      <c r="F93" s="5" t="str">
        <f aca="false">IF(OR(D93="",D93=0),"",B93/D93)</f>
        <v/>
      </c>
    </row>
    <row r="94" customFormat="false" ht="15" hidden="false" customHeight="false" outlineLevel="0" collapsed="false">
      <c r="A94" s="4" t="n">
        <v>46085</v>
      </c>
      <c r="B94" s="5" t="n">
        <v>22229214</v>
      </c>
      <c r="C94" s="6" t="s">
        <v>99</v>
      </c>
      <c r="D94" s="7" t="n">
        <v>112428</v>
      </c>
      <c r="E94" s="6" t="n">
        <v>2025</v>
      </c>
      <c r="F94" s="5" t="n">
        <f aca="false">IF(OR(D94="",D94=0),"",B94/D94)</f>
        <v>197.719553847796</v>
      </c>
    </row>
    <row r="95" customFormat="false" ht="15" hidden="false" customHeight="false" outlineLevel="0" collapsed="false">
      <c r="A95" s="4" t="n">
        <v>46085</v>
      </c>
      <c r="B95" s="5" t="n">
        <v>14000000</v>
      </c>
      <c r="C95" s="6" t="s">
        <v>100</v>
      </c>
      <c r="D95" s="7" t="n">
        <v>8270</v>
      </c>
      <c r="E95" s="6" t="n">
        <v>1930</v>
      </c>
      <c r="F95" s="5" t="n">
        <f aca="false">IF(OR(D95="",D95=0),"",B95/D95)</f>
        <v>1692.86577992745</v>
      </c>
    </row>
    <row r="96" customFormat="false" ht="15" hidden="false" customHeight="false" outlineLevel="0" collapsed="false">
      <c r="A96" s="4" t="n">
        <v>46085</v>
      </c>
      <c r="B96" s="5" t="n">
        <v>5500000</v>
      </c>
      <c r="C96" s="6" t="s">
        <v>101</v>
      </c>
      <c r="D96" s="7" t="n">
        <v>76000</v>
      </c>
      <c r="E96" s="6" t="n">
        <v>1929</v>
      </c>
      <c r="F96" s="5" t="n">
        <f aca="false">IF(OR(D96="",D96=0),"",B96/D96)</f>
        <v>72.3684210526316</v>
      </c>
    </row>
    <row r="97" customFormat="false" ht="15" hidden="false" customHeight="false" outlineLevel="0" collapsed="false">
      <c r="A97" s="4" t="n">
        <v>46085</v>
      </c>
      <c r="B97" s="5" t="n">
        <v>4300000</v>
      </c>
      <c r="C97" s="6" t="s">
        <v>102</v>
      </c>
      <c r="D97" s="7" t="n">
        <v>66550</v>
      </c>
      <c r="E97" s="6" t="n">
        <v>1931</v>
      </c>
      <c r="F97" s="5" t="n">
        <f aca="false">IF(OR(D97="",D97=0),"",B97/D97)</f>
        <v>64.6130728775357</v>
      </c>
    </row>
    <row r="98" customFormat="false" ht="15" hidden="false" customHeight="false" outlineLevel="0" collapsed="false">
      <c r="A98" s="4" t="n">
        <v>46086</v>
      </c>
      <c r="B98" s="5" t="n">
        <v>75000000</v>
      </c>
      <c r="C98" s="6" t="s">
        <v>103</v>
      </c>
      <c r="D98" s="7" t="n">
        <v>146042</v>
      </c>
      <c r="E98" s="6" t="n">
        <v>1996</v>
      </c>
      <c r="F98" s="5" t="n">
        <f aca="false">IF(OR(D98="",D98=0),"",B98/D98)</f>
        <v>513.550896317498</v>
      </c>
    </row>
    <row r="99" customFormat="false" ht="15" hidden="false" customHeight="false" outlineLevel="0" collapsed="false">
      <c r="A99" s="4" t="n">
        <v>46086</v>
      </c>
      <c r="B99" s="5" t="n">
        <v>33200000</v>
      </c>
      <c r="C99" s="6" t="s">
        <v>104</v>
      </c>
      <c r="D99" s="7" t="n">
        <v>145845</v>
      </c>
      <c r="E99" s="6" t="n">
        <v>2020</v>
      </c>
      <c r="F99" s="5" t="n">
        <f aca="false">IF(OR(D99="",D99=0),"",B99/D99)</f>
        <v>227.638931742603</v>
      </c>
    </row>
    <row r="100" customFormat="false" ht="15" hidden="false" customHeight="false" outlineLevel="0" collapsed="false">
      <c r="A100" s="4" t="n">
        <v>46090</v>
      </c>
      <c r="B100" s="5" t="n">
        <v>101125000</v>
      </c>
      <c r="C100" s="6" t="s">
        <v>105</v>
      </c>
      <c r="D100" s="7" t="n">
        <v>74637</v>
      </c>
      <c r="E100" s="6" t="n">
        <v>1977</v>
      </c>
      <c r="F100" s="5" t="n">
        <f aca="false">IF(OR(D100="",D100=0),"",B100/D100)</f>
        <v>1354.89100580141</v>
      </c>
    </row>
    <row r="101" customFormat="false" ht="15" hidden="false" customHeight="false" outlineLevel="0" collapsed="false">
      <c r="A101" s="4" t="n">
        <v>46090</v>
      </c>
      <c r="B101" s="5" t="n">
        <v>27225000</v>
      </c>
      <c r="C101" s="6" t="s">
        <v>106</v>
      </c>
      <c r="D101" s="7" t="n">
        <v>26047</v>
      </c>
      <c r="E101" s="6" t="n">
        <v>1891</v>
      </c>
      <c r="F101" s="5" t="n">
        <f aca="false">IF(OR(D101="",D101=0),"",B101/D101)</f>
        <v>1045.22593772795</v>
      </c>
    </row>
    <row r="102" customFormat="false" ht="15" hidden="false" customHeight="false" outlineLevel="0" collapsed="false">
      <c r="A102" s="4" t="n">
        <v>46090</v>
      </c>
      <c r="B102" s="5" t="n">
        <v>12000000</v>
      </c>
      <c r="C102" s="6" t="s">
        <v>107</v>
      </c>
      <c r="D102" s="7" t="n">
        <v>10200</v>
      </c>
      <c r="E102" s="6" t="n">
        <v>1932</v>
      </c>
      <c r="F102" s="5" t="n">
        <f aca="false">IF(OR(D102="",D102=0),"",B102/D102)</f>
        <v>1176.47058823529</v>
      </c>
    </row>
    <row r="103" customFormat="false" ht="15" hidden="false" customHeight="false" outlineLevel="0" collapsed="false">
      <c r="A103" s="4" t="n">
        <v>46091</v>
      </c>
      <c r="B103" s="5" t="n">
        <v>2800000</v>
      </c>
      <c r="C103" s="6" t="s">
        <v>108</v>
      </c>
      <c r="D103" s="7" t="n">
        <v>3900</v>
      </c>
      <c r="E103" s="6" t="n">
        <v>1925</v>
      </c>
      <c r="F103" s="5" t="n">
        <f aca="false">IF(OR(D103="",D103=0),"",B103/D103)</f>
        <v>717.948717948718</v>
      </c>
    </row>
    <row r="104" customFormat="false" ht="15" hidden="false" customHeight="false" outlineLevel="0" collapsed="false">
      <c r="A104" s="4" t="n">
        <v>46092</v>
      </c>
      <c r="B104" s="5" t="n">
        <v>26643750</v>
      </c>
      <c r="C104" s="6" t="s">
        <v>109</v>
      </c>
      <c r="D104" s="7" t="n">
        <v>44168</v>
      </c>
      <c r="E104" s="6" t="n">
        <v>2015</v>
      </c>
      <c r="F104" s="5" t="n">
        <f aca="false">IF(OR(D104="",D104=0),"",B104/D104)</f>
        <v>603.236506067741</v>
      </c>
    </row>
    <row r="105" customFormat="false" ht="15" hidden="false" customHeight="false" outlineLevel="0" collapsed="false">
      <c r="A105" s="4" t="n">
        <v>46094</v>
      </c>
      <c r="B105" s="5" t="n">
        <v>49207700</v>
      </c>
      <c r="C105" s="6" t="s">
        <v>110</v>
      </c>
      <c r="D105" s="7" t="n">
        <v>65283</v>
      </c>
      <c r="E105" s="6" t="n">
        <v>2005</v>
      </c>
      <c r="F105" s="5" t="n">
        <f aca="false">IF(OR(D105="",D105=0),"",B105/D105)</f>
        <v>753.759784323637</v>
      </c>
    </row>
    <row r="106" customFormat="false" ht="15" hidden="false" customHeight="false" outlineLevel="0" collapsed="false">
      <c r="A106" s="4" t="n">
        <v>46094</v>
      </c>
      <c r="B106" s="5" t="n">
        <v>14995000</v>
      </c>
      <c r="C106" s="6" t="s">
        <v>111</v>
      </c>
      <c r="D106" s="7" t="n">
        <v>4984</v>
      </c>
      <c r="E106" s="6" t="n">
        <v>1899</v>
      </c>
      <c r="F106" s="5" t="n">
        <f aca="false">IF(OR(D106="",D106=0),"",B106/D106)</f>
        <v>3008.62760834671</v>
      </c>
    </row>
    <row r="107" customFormat="false" ht="15" hidden="false" customHeight="false" outlineLevel="0" collapsed="false">
      <c r="A107" s="4" t="n">
        <v>46097</v>
      </c>
      <c r="B107" s="5" t="n">
        <v>2825000</v>
      </c>
      <c r="C107" s="6" t="s">
        <v>112</v>
      </c>
      <c r="D107" s="7" t="n">
        <v>10837</v>
      </c>
      <c r="E107" s="6" t="n">
        <v>1952</v>
      </c>
      <c r="F107" s="5" t="n">
        <f aca="false">IF(OR(D107="",D107=0),"",B107/D107)</f>
        <v>260.681000276829</v>
      </c>
    </row>
    <row r="108" customFormat="false" ht="15" hidden="false" customHeight="false" outlineLevel="0" collapsed="false">
      <c r="A108" s="4" t="n">
        <v>46098</v>
      </c>
      <c r="B108" s="5" t="n">
        <v>33500000</v>
      </c>
      <c r="C108" s="6" t="s">
        <v>113</v>
      </c>
      <c r="D108" s="7" t="n">
        <v>6200</v>
      </c>
      <c r="E108" s="6" t="n">
        <v>1950</v>
      </c>
      <c r="F108" s="5" t="n">
        <f aca="false">IF(OR(D108="",D108=0),"",B108/D108)</f>
        <v>5403.22580645161</v>
      </c>
    </row>
    <row r="109" customFormat="false" ht="15" hidden="false" customHeight="false" outlineLevel="0" collapsed="false">
      <c r="A109" s="4" t="n">
        <v>46098</v>
      </c>
      <c r="B109" s="5" t="n">
        <v>16250000</v>
      </c>
      <c r="C109" s="6" t="s">
        <v>114</v>
      </c>
      <c r="D109" s="7" t="n">
        <v>279019</v>
      </c>
      <c r="E109" s="6" t="n">
        <v>2019</v>
      </c>
      <c r="F109" s="5" t="n">
        <f aca="false">IF(OR(D109="",D109=0),"",B109/D109)</f>
        <v>58.2397614499371</v>
      </c>
    </row>
    <row r="110" customFormat="false" ht="15" hidden="false" customHeight="false" outlineLevel="0" collapsed="false">
      <c r="A110" s="4" t="n">
        <v>46099</v>
      </c>
      <c r="B110" s="5" t="n">
        <v>28000000</v>
      </c>
      <c r="C110" s="6" t="s">
        <v>115</v>
      </c>
      <c r="D110" s="7" t="n">
        <v>129087</v>
      </c>
      <c r="E110" s="6" t="n">
        <v>1916</v>
      </c>
      <c r="F110" s="5" t="n">
        <f aca="false">IF(OR(D110="",D110=0),"",B110/D110)</f>
        <v>216.907976790846</v>
      </c>
    </row>
    <row r="111" customFormat="false" ht="15" hidden="false" customHeight="false" outlineLevel="0" collapsed="false">
      <c r="A111" s="4" t="n">
        <v>46100</v>
      </c>
      <c r="B111" s="5" t="n">
        <v>129000000</v>
      </c>
      <c r="C111" s="6" t="s">
        <v>116</v>
      </c>
      <c r="D111" s="7" t="n">
        <v>203794</v>
      </c>
      <c r="E111" s="6" t="n">
        <v>2015</v>
      </c>
      <c r="F111" s="5" t="n">
        <f aca="false">IF(OR(D111="",D111=0),"",B111/D111)</f>
        <v>632.992139120877</v>
      </c>
    </row>
    <row r="112" customFormat="false" ht="15" hidden="false" customHeight="false" outlineLevel="0" collapsed="false">
      <c r="A112" s="4" t="n">
        <v>46100</v>
      </c>
      <c r="B112" s="5" t="n">
        <v>14500000</v>
      </c>
      <c r="C112" s="6" t="s">
        <v>117</v>
      </c>
      <c r="D112" s="7" t="n">
        <v>40400</v>
      </c>
      <c r="E112" s="6" t="n">
        <v>1931</v>
      </c>
      <c r="F112" s="5" t="n">
        <f aca="false">IF(OR(D112="",D112=0),"",B112/D112)</f>
        <v>358.910891089109</v>
      </c>
    </row>
    <row r="113" customFormat="false" ht="15" hidden="false" customHeight="false" outlineLevel="0" collapsed="false">
      <c r="A113" s="4" t="n">
        <v>46101</v>
      </c>
      <c r="B113" s="5" t="n">
        <v>40000000</v>
      </c>
      <c r="C113" s="6" t="s">
        <v>118</v>
      </c>
      <c r="D113" s="7" t="n">
        <v>10004</v>
      </c>
      <c r="E113" s="6" t="n">
        <v>1877</v>
      </c>
      <c r="F113" s="5" t="n">
        <f aca="false">IF(OR(D113="",D113=0),"",B113/D113)</f>
        <v>3998.4006397441</v>
      </c>
    </row>
    <row r="114" customFormat="false" ht="15" hidden="false" customHeight="false" outlineLevel="0" collapsed="false">
      <c r="A114" s="4" t="n">
        <v>46101</v>
      </c>
      <c r="B114" s="5" t="n">
        <v>28000000</v>
      </c>
      <c r="C114" s="6" t="s">
        <v>119</v>
      </c>
      <c r="D114" s="7" t="n">
        <v>35865</v>
      </c>
      <c r="E114" s="6" t="n">
        <v>1920</v>
      </c>
      <c r="F114" s="5" t="n">
        <f aca="false">IF(OR(D114="",D114=0),"",B114/D114)</f>
        <v>780.705423114457</v>
      </c>
    </row>
    <row r="115" customFormat="false" ht="15" hidden="false" customHeight="false" outlineLevel="0" collapsed="false">
      <c r="A115" s="4" t="n">
        <v>46104</v>
      </c>
      <c r="B115" s="5" t="n">
        <v>37500000</v>
      </c>
      <c r="C115" s="6" t="s">
        <v>120</v>
      </c>
      <c r="D115" s="7" t="n">
        <v>118367</v>
      </c>
      <c r="E115" s="6" t="n">
        <v>1930</v>
      </c>
      <c r="F115" s="5" t="n">
        <f aca="false">IF(OR(D115="",D115=0),"",B115/D115)</f>
        <v>316.811273412353</v>
      </c>
    </row>
    <row r="116" customFormat="false" ht="15" hidden="false" customHeight="false" outlineLevel="0" collapsed="false">
      <c r="A116" s="4" t="n">
        <v>46104</v>
      </c>
      <c r="B116" s="5" t="n">
        <v>14000000</v>
      </c>
      <c r="C116" s="6" t="s">
        <v>121</v>
      </c>
      <c r="D116" s="7" t="n">
        <v>22793</v>
      </c>
      <c r="E116" s="6" t="n">
        <v>2009</v>
      </c>
      <c r="F116" s="5" t="n">
        <f aca="false">IF(OR(D116="",D116=0),"",B116/D116)</f>
        <v>614.223665160356</v>
      </c>
    </row>
    <row r="117" customFormat="false" ht="15" hidden="false" customHeight="false" outlineLevel="0" collapsed="false">
      <c r="A117" s="4" t="n">
        <v>46104</v>
      </c>
      <c r="B117" s="5" t="n">
        <v>9750000</v>
      </c>
      <c r="C117" s="6" t="s">
        <v>122</v>
      </c>
      <c r="D117" s="7" t="n">
        <v>4950</v>
      </c>
      <c r="E117" s="6" t="n">
        <v>1941</v>
      </c>
      <c r="F117" s="5" t="n">
        <f aca="false">IF(OR(D117="",D117=0),"",B117/D117)</f>
        <v>1969.69696969697</v>
      </c>
    </row>
    <row r="118" customFormat="false" ht="15" hidden="false" customHeight="false" outlineLevel="0" collapsed="false">
      <c r="A118" s="4" t="n">
        <v>46105</v>
      </c>
      <c r="B118" s="5" t="n">
        <v>32000000</v>
      </c>
      <c r="C118" s="6" t="s">
        <v>123</v>
      </c>
      <c r="D118" s="7" t="n">
        <v>33500</v>
      </c>
      <c r="E118" s="6" t="n">
        <v>1868</v>
      </c>
      <c r="F118" s="5" t="n">
        <f aca="false">IF(OR(D118="",D118=0),"",B118/D118)</f>
        <v>955.223880597015</v>
      </c>
    </row>
    <row r="119" customFormat="false" ht="15" hidden="false" customHeight="false" outlineLevel="0" collapsed="false">
      <c r="A119" s="4" t="n">
        <v>46105</v>
      </c>
      <c r="B119" s="5" t="n">
        <v>5500000</v>
      </c>
      <c r="C119" s="6" t="s">
        <v>124</v>
      </c>
      <c r="D119" s="7" t="n">
        <v>10045</v>
      </c>
      <c r="E119" s="6" t="n">
        <v>1931</v>
      </c>
      <c r="F119" s="5" t="n">
        <f aca="false">IF(OR(D119="",D119=0),"",B119/D119)</f>
        <v>547.536087605774</v>
      </c>
    </row>
    <row r="120" customFormat="false" ht="15" hidden="false" customHeight="false" outlineLevel="0" collapsed="false">
      <c r="A120" s="4" t="n">
        <v>46106</v>
      </c>
      <c r="B120" s="5" t="n">
        <v>161500000</v>
      </c>
      <c r="C120" s="6" t="s">
        <v>125</v>
      </c>
      <c r="D120" s="7" t="n">
        <v>292230</v>
      </c>
      <c r="E120" s="6" t="n">
        <v>1930</v>
      </c>
      <c r="F120" s="5" t="n">
        <f aca="false">IF(OR(D120="",D120=0),"",B120/D120)</f>
        <v>552.646887725422</v>
      </c>
    </row>
    <row r="121" customFormat="false" ht="15" hidden="false" customHeight="false" outlineLevel="0" collapsed="false">
      <c r="A121" s="4" t="n">
        <v>46106</v>
      </c>
      <c r="B121" s="5" t="n">
        <v>73500000</v>
      </c>
      <c r="C121" s="6" t="s">
        <v>126</v>
      </c>
      <c r="D121" s="7" t="n">
        <v>205680</v>
      </c>
      <c r="E121" s="6" t="n">
        <v>1900</v>
      </c>
      <c r="F121" s="5" t="n">
        <f aca="false">IF(OR(D121="",D121=0),"",B121/D121)</f>
        <v>357.351225204201</v>
      </c>
    </row>
    <row r="122" customFormat="false" ht="15" hidden="false" customHeight="false" outlineLevel="0" collapsed="false">
      <c r="A122" s="4" t="n">
        <v>46106</v>
      </c>
      <c r="B122" s="5" t="n">
        <v>51000000</v>
      </c>
      <c r="C122" s="6" t="s">
        <v>127</v>
      </c>
      <c r="D122" s="7" t="n">
        <v>113784</v>
      </c>
      <c r="E122" s="6" t="n">
        <v>1913</v>
      </c>
      <c r="F122" s="5" t="n">
        <f aca="false">IF(OR(D122="",D122=0),"",B122/D122)</f>
        <v>448.217675595866</v>
      </c>
    </row>
    <row r="123" customFormat="false" ht="15" hidden="false" customHeight="false" outlineLevel="0" collapsed="false">
      <c r="A123" s="4" t="n">
        <v>46106</v>
      </c>
      <c r="B123" s="5" t="n">
        <v>50637713</v>
      </c>
      <c r="C123" s="6" t="s">
        <v>128</v>
      </c>
      <c r="D123" s="7" t="n">
        <v>122840</v>
      </c>
      <c r="E123" s="6" t="n">
        <v>1930</v>
      </c>
      <c r="F123" s="5" t="n">
        <f aca="false">IF(OR(D123="",D123=0),"",B123/D123)</f>
        <v>412.224951155975</v>
      </c>
    </row>
    <row r="124" customFormat="false" ht="15" hidden="false" customHeight="false" outlineLevel="0" collapsed="false">
      <c r="A124" s="4" t="n">
        <v>46107</v>
      </c>
      <c r="B124" s="5" t="n">
        <v>46000000</v>
      </c>
      <c r="C124" s="6" t="s">
        <v>129</v>
      </c>
      <c r="D124" s="7" t="n">
        <v>70642</v>
      </c>
      <c r="E124" s="6" t="n">
        <v>1906</v>
      </c>
      <c r="F124" s="5" t="n">
        <f aca="false">IF(OR(D124="",D124=0),"",B124/D124)</f>
        <v>651.170691656522</v>
      </c>
    </row>
    <row r="125" customFormat="false" ht="15" hidden="false" customHeight="false" outlineLevel="0" collapsed="false">
      <c r="A125" s="4" t="n">
        <v>46107</v>
      </c>
      <c r="B125" s="5" t="n">
        <v>26250000</v>
      </c>
      <c r="C125" s="6" t="s">
        <v>130</v>
      </c>
      <c r="D125" s="7" t="n">
        <v>64600</v>
      </c>
      <c r="E125" s="6" t="n">
        <v>1973</v>
      </c>
      <c r="F125" s="5" t="n">
        <f aca="false">IF(OR(D125="",D125=0),"",B125/D125)</f>
        <v>406.346749226006</v>
      </c>
    </row>
    <row r="126" customFormat="false" ht="15" hidden="false" customHeight="false" outlineLevel="0" collapsed="false">
      <c r="A126" s="4" t="n">
        <v>46107</v>
      </c>
      <c r="B126" s="5" t="n">
        <v>17100000</v>
      </c>
      <c r="C126" s="6" t="s">
        <v>131</v>
      </c>
      <c r="D126" s="7" t="n">
        <v>31157</v>
      </c>
      <c r="E126" s="6" t="n">
        <v>1954</v>
      </c>
      <c r="F126" s="5" t="n">
        <f aca="false">IF(OR(D126="",D126=0),"",B126/D126)</f>
        <v>548.833327984081</v>
      </c>
    </row>
    <row r="127" customFormat="false" ht="15" hidden="false" customHeight="false" outlineLevel="0" collapsed="false">
      <c r="A127" s="4" t="n">
        <v>46107</v>
      </c>
      <c r="B127" s="5" t="n">
        <v>10900000</v>
      </c>
      <c r="C127" s="6" t="s">
        <v>132</v>
      </c>
      <c r="D127" s="7" t="n">
        <v>26000</v>
      </c>
      <c r="E127" s="6" t="n">
        <v>1968</v>
      </c>
      <c r="F127" s="5" t="n">
        <f aca="false">IF(OR(D127="",D127=0),"",B127/D127)</f>
        <v>419.230769230769</v>
      </c>
    </row>
    <row r="128" customFormat="false" ht="15" hidden="false" customHeight="false" outlineLevel="0" collapsed="false">
      <c r="A128" s="4" t="n">
        <v>46107</v>
      </c>
      <c r="B128" s="5" t="n">
        <v>9500000</v>
      </c>
      <c r="C128" s="6" t="s">
        <v>133</v>
      </c>
      <c r="D128" s="7" t="n">
        <v>14000</v>
      </c>
      <c r="E128" s="6" t="n">
        <v>1955</v>
      </c>
      <c r="F128" s="5" t="n">
        <f aca="false">IF(OR(D128="",D128=0),"",B128/D128)</f>
        <v>678.571428571429</v>
      </c>
    </row>
    <row r="129" customFormat="false" ht="15" hidden="false" customHeight="false" outlineLevel="0" collapsed="false">
      <c r="A129" s="4" t="n">
        <v>46107</v>
      </c>
      <c r="B129" s="5" t="n">
        <v>2575000</v>
      </c>
      <c r="C129" s="6" t="s">
        <v>134</v>
      </c>
      <c r="D129" s="7"/>
      <c r="E129" s="6"/>
      <c r="F129" s="5" t="str">
        <f aca="false">IF(OR(D129="",D129=0),"",B129/D129)</f>
        <v/>
      </c>
    </row>
    <row r="130" customFormat="false" ht="15" hidden="false" customHeight="false" outlineLevel="0" collapsed="false">
      <c r="A130" s="4" t="n">
        <v>46108</v>
      </c>
      <c r="B130" s="5" t="n">
        <v>47000000</v>
      </c>
      <c r="C130" s="6" t="s">
        <v>135</v>
      </c>
      <c r="D130" s="7" t="n">
        <v>43000</v>
      </c>
      <c r="E130" s="6" t="n">
        <v>1907</v>
      </c>
      <c r="F130" s="5" t="n">
        <f aca="false">IF(OR(D130="",D130=0),"",B130/D130)</f>
        <v>1093.02325581395</v>
      </c>
    </row>
    <row r="131" customFormat="false" ht="15" hidden="false" customHeight="false" outlineLevel="0" collapsed="false">
      <c r="A131" s="4" t="n">
        <v>46108</v>
      </c>
      <c r="B131" s="5" t="n">
        <v>40500000</v>
      </c>
      <c r="C131" s="6" t="s">
        <v>136</v>
      </c>
      <c r="D131" s="7" t="n">
        <v>39224</v>
      </c>
      <c r="E131" s="6" t="n">
        <v>1915</v>
      </c>
      <c r="F131" s="5" t="n">
        <f aca="false">IF(OR(D131="",D131=0),"",B131/D131)</f>
        <v>1032.53110340608</v>
      </c>
    </row>
    <row r="132" customFormat="false" ht="15" hidden="false" customHeight="false" outlineLevel="0" collapsed="false">
      <c r="A132" s="4" t="n">
        <v>46108</v>
      </c>
      <c r="B132" s="5" t="n">
        <v>25464340.74</v>
      </c>
      <c r="C132" s="6" t="s">
        <v>114</v>
      </c>
      <c r="D132" s="7" t="n">
        <v>279019</v>
      </c>
      <c r="E132" s="6" t="n">
        <v>2019</v>
      </c>
      <c r="F132" s="5" t="n">
        <f aca="false">IF(OR(D132="",D132=0),"",B132/D132)</f>
        <v>91.2638233955394</v>
      </c>
    </row>
    <row r="133" customFormat="false" ht="15" hidden="false" customHeight="false" outlineLevel="0" collapsed="false">
      <c r="A133" s="4" t="n">
        <v>46111</v>
      </c>
      <c r="B133" s="5" t="n">
        <v>13550000</v>
      </c>
      <c r="C133" s="6" t="s">
        <v>137</v>
      </c>
      <c r="D133" s="7" t="n">
        <v>4556</v>
      </c>
      <c r="E133" s="6" t="n">
        <v>2021</v>
      </c>
      <c r="F133" s="5" t="n">
        <f aca="false">IF(OR(D133="",D133=0),"",B133/D133)</f>
        <v>2974.10008779631</v>
      </c>
    </row>
    <row r="134" customFormat="false" ht="15" hidden="false" customHeight="false" outlineLevel="0" collapsed="false">
      <c r="A134" s="4" t="n">
        <v>46111</v>
      </c>
      <c r="B134" s="5" t="n">
        <v>7000000</v>
      </c>
      <c r="C134" s="6" t="s">
        <v>138</v>
      </c>
      <c r="D134" s="7" t="n">
        <v>8300</v>
      </c>
      <c r="E134" s="6" t="n">
        <v>1924</v>
      </c>
      <c r="F134" s="5" t="n">
        <f aca="false">IF(OR(D134="",D134=0),"",B134/D134)</f>
        <v>843.373493975904</v>
      </c>
    </row>
    <row r="135" customFormat="false" ht="15" hidden="false" customHeight="false" outlineLevel="0" collapsed="false">
      <c r="A135" s="4" t="n">
        <v>46112</v>
      </c>
      <c r="B135" s="5" t="n">
        <v>102500000</v>
      </c>
      <c r="C135" s="6" t="s">
        <v>139</v>
      </c>
      <c r="D135" s="7" t="n">
        <v>214370</v>
      </c>
      <c r="E135" s="6" t="n">
        <v>1972</v>
      </c>
      <c r="F135" s="5" t="n">
        <f aca="false">IF(OR(D135="",D135=0),"",B135/D135)</f>
        <v>478.145262863274</v>
      </c>
    </row>
    <row r="136" customFormat="false" ht="15" hidden="false" customHeight="false" outlineLevel="0" collapsed="false">
      <c r="A136" s="4" t="n">
        <v>46112</v>
      </c>
      <c r="B136" s="5" t="n">
        <v>34500000</v>
      </c>
      <c r="C136" s="6" t="s">
        <v>140</v>
      </c>
      <c r="D136" s="7" t="n">
        <v>11080</v>
      </c>
      <c r="E136" s="6" t="n">
        <v>1901</v>
      </c>
      <c r="F136" s="5" t="n">
        <f aca="false">IF(OR(D136="",D136=0),"",B136/D136)</f>
        <v>3113.71841155235</v>
      </c>
    </row>
    <row r="137" customFormat="false" ht="15" hidden="false" customHeight="false" outlineLevel="0" collapsed="false">
      <c r="A137" s="4" t="n">
        <v>46113</v>
      </c>
      <c r="B137" s="5" t="n">
        <v>21000000</v>
      </c>
      <c r="C137" s="6" t="s">
        <v>141</v>
      </c>
      <c r="D137" s="7" t="n">
        <v>25972</v>
      </c>
      <c r="E137" s="6" t="n">
        <v>1930</v>
      </c>
      <c r="F137" s="5" t="n">
        <f aca="false">IF(OR(D137="",D137=0),"",B137/D137)</f>
        <v>808.563067919298</v>
      </c>
    </row>
    <row r="138" customFormat="false" ht="15" hidden="false" customHeight="false" outlineLevel="0" collapsed="false">
      <c r="A138" s="4" t="n">
        <v>46115</v>
      </c>
      <c r="B138" s="5" t="n">
        <v>46000000</v>
      </c>
      <c r="C138" s="6" t="s">
        <v>142</v>
      </c>
      <c r="D138" s="7" t="n">
        <v>73282</v>
      </c>
      <c r="E138" s="6" t="n">
        <v>2025</v>
      </c>
      <c r="F138" s="5" t="n">
        <f aca="false">IF(OR(D138="",D138=0),"",B138/D138)</f>
        <v>627.71212576076</v>
      </c>
    </row>
    <row r="139" customFormat="false" ht="15" hidden="false" customHeight="false" outlineLevel="0" collapsed="false">
      <c r="A139" s="4" t="n">
        <v>46118</v>
      </c>
      <c r="B139" s="5" t="n">
        <v>435000000</v>
      </c>
      <c r="C139" s="6" t="s">
        <v>143</v>
      </c>
      <c r="D139" s="7" t="n">
        <v>336010</v>
      </c>
      <c r="E139" s="6" t="n">
        <v>1977</v>
      </c>
      <c r="F139" s="5" t="n">
        <f aca="false">IF(OR(D139="",D139=0),"",B139/D139)</f>
        <v>1294.60432725217</v>
      </c>
    </row>
    <row r="140" customFormat="false" ht="15" hidden="false" customHeight="false" outlineLevel="0" collapsed="false">
      <c r="A140" s="4" t="n">
        <v>46118</v>
      </c>
      <c r="B140" s="5" t="n">
        <v>174000000</v>
      </c>
      <c r="C140" s="6" t="s">
        <v>143</v>
      </c>
      <c r="D140" s="7" t="n">
        <v>336010</v>
      </c>
      <c r="E140" s="6" t="n">
        <v>1977</v>
      </c>
      <c r="F140" s="5" t="n">
        <f aca="false">IF(OR(D140="",D140=0),"",B140/D140)</f>
        <v>517.841730900866</v>
      </c>
    </row>
    <row r="141" customFormat="false" ht="15" hidden="false" customHeight="false" outlineLevel="0" collapsed="false">
      <c r="A141" s="4" t="n">
        <v>46118</v>
      </c>
      <c r="B141" s="5" t="n">
        <v>54000000</v>
      </c>
      <c r="C141" s="6" t="s">
        <v>144</v>
      </c>
      <c r="D141" s="7" t="n">
        <v>52727</v>
      </c>
      <c r="E141" s="6" t="n">
        <v>1913</v>
      </c>
      <c r="F141" s="5" t="n">
        <f aca="false">IF(OR(D141="",D141=0),"",B141/D141)</f>
        <v>1024.14322832704</v>
      </c>
    </row>
    <row r="142" customFormat="false" ht="15" hidden="false" customHeight="false" outlineLevel="0" collapsed="false">
      <c r="A142" s="4" t="n">
        <v>46119</v>
      </c>
      <c r="B142" s="5" t="n">
        <v>40000000</v>
      </c>
      <c r="C142" s="6" t="s">
        <v>145</v>
      </c>
      <c r="D142" s="7" t="n">
        <v>162891</v>
      </c>
      <c r="E142" s="6" t="n">
        <v>1920</v>
      </c>
      <c r="F142" s="5" t="n">
        <f aca="false">IF(OR(D142="",D142=0),"",B142/D142)</f>
        <v>245.562983835817</v>
      </c>
    </row>
    <row r="143" customFormat="false" ht="15" hidden="false" customHeight="false" outlineLevel="0" collapsed="false">
      <c r="A143" s="4" t="n">
        <v>46119</v>
      </c>
      <c r="B143" s="5" t="n">
        <v>15000000</v>
      </c>
      <c r="C143" s="6" t="s">
        <v>146</v>
      </c>
      <c r="D143" s="7" t="n">
        <v>203663</v>
      </c>
      <c r="E143" s="6" t="n">
        <v>1920</v>
      </c>
      <c r="F143" s="5" t="n">
        <f aca="false">IF(OR(D143="",D143=0),"",B143/D143)</f>
        <v>73.6510804613504</v>
      </c>
    </row>
    <row r="144" customFormat="false" ht="15" hidden="false" customHeight="false" outlineLevel="0" collapsed="false">
      <c r="A144" s="4" t="n">
        <v>46120</v>
      </c>
      <c r="B144" s="5" t="n">
        <v>38000000</v>
      </c>
      <c r="C144" s="6" t="s">
        <v>147</v>
      </c>
      <c r="D144" s="7" t="n">
        <v>64650</v>
      </c>
      <c r="E144" s="6" t="n">
        <v>2007</v>
      </c>
      <c r="F144" s="5" t="n">
        <f aca="false">IF(OR(D144="",D144=0),"",B144/D144)</f>
        <v>587.780355761794</v>
      </c>
    </row>
    <row r="145" customFormat="false" ht="15" hidden="false" customHeight="false" outlineLevel="0" collapsed="false">
      <c r="A145" s="4" t="n">
        <v>46120</v>
      </c>
      <c r="B145" s="5" t="n">
        <v>22084367.18</v>
      </c>
      <c r="C145" s="6" t="s">
        <v>148</v>
      </c>
      <c r="D145" s="7" t="n">
        <v>627558</v>
      </c>
      <c r="E145" s="6" t="n">
        <v>1900</v>
      </c>
      <c r="F145" s="5" t="n">
        <f aca="false">IF(OR(D145="",D145=0),"",B145/D145)</f>
        <v>35.1909579353622</v>
      </c>
    </row>
    <row r="146" customFormat="false" ht="15" hidden="false" customHeight="false" outlineLevel="0" collapsed="false">
      <c r="A146" s="4" t="n">
        <v>46121</v>
      </c>
      <c r="B146" s="5" t="n">
        <v>76025000</v>
      </c>
      <c r="C146" s="6" t="s">
        <v>149</v>
      </c>
      <c r="D146" s="7" t="n">
        <v>149425</v>
      </c>
      <c r="E146" s="6" t="n">
        <v>2008</v>
      </c>
      <c r="F146" s="5" t="n">
        <f aca="false">IF(OR(D146="",D146=0),"",B146/D146)</f>
        <v>508.783670737828</v>
      </c>
    </row>
    <row r="147" customFormat="false" ht="15" hidden="false" customHeight="false" outlineLevel="0" collapsed="false">
      <c r="A147" s="4" t="n">
        <v>46121</v>
      </c>
      <c r="B147" s="5" t="n">
        <v>21500000</v>
      </c>
      <c r="C147" s="6" t="s">
        <v>150</v>
      </c>
      <c r="D147" s="7" t="n">
        <v>5896</v>
      </c>
      <c r="E147" s="6" t="n">
        <v>1849</v>
      </c>
      <c r="F147" s="5" t="n">
        <f aca="false">IF(OR(D147="",D147=0),"",B147/D147)</f>
        <v>3646.54002713704</v>
      </c>
    </row>
    <row r="148" customFormat="false" ht="15" hidden="false" customHeight="false" outlineLevel="0" collapsed="false">
      <c r="A148" s="4" t="n">
        <v>46122</v>
      </c>
      <c r="B148" s="5" t="n">
        <v>9375000</v>
      </c>
      <c r="C148" s="6" t="s">
        <v>151</v>
      </c>
      <c r="D148" s="7" t="n">
        <v>10000</v>
      </c>
      <c r="E148" s="6" t="n">
        <v>1929</v>
      </c>
      <c r="F148" s="5" t="n">
        <f aca="false">IF(OR(D148="",D148=0),"",B148/D148)</f>
        <v>937.5</v>
      </c>
    </row>
    <row r="149" customFormat="false" ht="15" hidden="false" customHeight="false" outlineLevel="0" collapsed="false">
      <c r="A149" s="4" t="n">
        <v>46125</v>
      </c>
      <c r="B149" s="5" t="n">
        <v>25130000</v>
      </c>
      <c r="C149" s="6" t="s">
        <v>59</v>
      </c>
      <c r="D149" s="7" t="n">
        <v>695701</v>
      </c>
      <c r="E149" s="6" t="n">
        <v>2005</v>
      </c>
      <c r="F149" s="5" t="n">
        <f aca="false">IF(OR(D149="",D149=0),"",B149/D149)</f>
        <v>36.1218396983762</v>
      </c>
    </row>
    <row r="150" customFormat="false" ht="15" hidden="false" customHeight="false" outlineLevel="0" collapsed="false">
      <c r="A150" s="4" t="n">
        <v>46126</v>
      </c>
      <c r="B150" s="5" t="n">
        <v>10394778.24</v>
      </c>
      <c r="C150" s="6" t="s">
        <v>152</v>
      </c>
      <c r="D150" s="7" t="n">
        <v>100890</v>
      </c>
      <c r="E150" s="6" t="n">
        <v>1937</v>
      </c>
      <c r="F150" s="5" t="n">
        <f aca="false">IF(OR(D150="",D150=0),"",B150/D150)</f>
        <v>103.030808206958</v>
      </c>
    </row>
    <row r="151" customFormat="false" ht="15" hidden="false" customHeight="false" outlineLevel="0" collapsed="false">
      <c r="A151" s="4" t="n">
        <v>46127</v>
      </c>
      <c r="B151" s="5" t="n">
        <v>15095251.16</v>
      </c>
      <c r="C151" s="6" t="s">
        <v>153</v>
      </c>
      <c r="D151" s="7" t="n">
        <v>114000</v>
      </c>
      <c r="E151" s="6" t="n">
        <v>1935</v>
      </c>
      <c r="F151" s="5" t="n">
        <f aca="false">IF(OR(D151="",D151=0),"",B151/D151)</f>
        <v>132.414483859649</v>
      </c>
    </row>
    <row r="152" customFormat="false" ht="15" hidden="false" customHeight="false" outlineLevel="0" collapsed="false">
      <c r="A152" s="4" t="n">
        <v>46127</v>
      </c>
      <c r="B152" s="5" t="n">
        <v>8864391.71</v>
      </c>
      <c r="C152" s="6" t="s">
        <v>154</v>
      </c>
      <c r="D152" s="7" t="n">
        <v>85000</v>
      </c>
      <c r="E152" s="6" t="n">
        <v>1926</v>
      </c>
      <c r="F152" s="5" t="n">
        <f aca="false">IF(OR(D152="",D152=0),"",B152/D152)</f>
        <v>104.286961294118</v>
      </c>
    </row>
    <row r="153" customFormat="false" ht="15" hidden="false" customHeight="false" outlineLevel="0" collapsed="false">
      <c r="A153" s="4" t="n">
        <v>46127</v>
      </c>
      <c r="B153" s="5" t="n">
        <v>6350000</v>
      </c>
      <c r="C153" s="6" t="s">
        <v>155</v>
      </c>
      <c r="D153" s="7" t="n">
        <v>10600</v>
      </c>
      <c r="E153" s="6" t="n">
        <v>2005</v>
      </c>
      <c r="F153" s="5" t="n">
        <f aca="false">IF(OR(D153="",D153=0),"",B153/D153)</f>
        <v>599.056603773585</v>
      </c>
    </row>
    <row r="154" customFormat="false" ht="15" hidden="false" customHeight="false" outlineLevel="0" collapsed="false">
      <c r="A154" s="4" t="n">
        <v>46128</v>
      </c>
      <c r="B154" s="5" t="n">
        <v>22000000</v>
      </c>
      <c r="C154" s="6" t="s">
        <v>156</v>
      </c>
      <c r="D154" s="7" t="n">
        <v>187963</v>
      </c>
      <c r="E154" s="6" t="n">
        <v>1964</v>
      </c>
      <c r="F154" s="5" t="n">
        <f aca="false">IF(OR(D154="",D154=0),"",B154/D154)</f>
        <v>117.044311912451</v>
      </c>
    </row>
    <row r="155" customFormat="false" ht="15" hidden="false" customHeight="false" outlineLevel="0" collapsed="false">
      <c r="A155" s="4" t="n">
        <v>46128</v>
      </c>
      <c r="B155" s="5" t="n">
        <v>17000000</v>
      </c>
      <c r="C155" s="6" t="s">
        <v>157</v>
      </c>
      <c r="D155" s="7"/>
      <c r="E155" s="6"/>
      <c r="F155" s="5" t="str">
        <f aca="false">IF(OR(D155="",D155=0),"",B155/D155)</f>
        <v/>
      </c>
    </row>
    <row r="156" customFormat="false" ht="15" hidden="false" customHeight="false" outlineLevel="0" collapsed="false">
      <c r="A156" s="4" t="n">
        <v>46128</v>
      </c>
      <c r="B156" s="5" t="n">
        <v>8919048.38</v>
      </c>
      <c r="C156" s="6" t="s">
        <v>158</v>
      </c>
      <c r="D156" s="7" t="n">
        <v>83238</v>
      </c>
      <c r="E156" s="6" t="n">
        <v>1951</v>
      </c>
      <c r="F156" s="5" t="n">
        <f aca="false">IF(OR(D156="",D156=0),"",B156/D156)</f>
        <v>107.151161488743</v>
      </c>
    </row>
    <row r="157" customFormat="false" ht="15" hidden="false" customHeight="false" outlineLevel="0" collapsed="false">
      <c r="A157" s="4" t="n">
        <v>46128</v>
      </c>
      <c r="B157" s="5" t="n">
        <v>8427138.42</v>
      </c>
      <c r="C157" s="6" t="s">
        <v>159</v>
      </c>
      <c r="D157" s="7" t="n">
        <v>75246</v>
      </c>
      <c r="E157" s="6" t="n">
        <v>1950</v>
      </c>
      <c r="F157" s="5" t="n">
        <f aca="false">IF(OR(D157="",D157=0),"",B157/D157)</f>
        <v>111.9945036281</v>
      </c>
    </row>
    <row r="158" customFormat="false" ht="15" hidden="false" customHeight="false" outlineLevel="0" collapsed="false">
      <c r="A158" s="4" t="n">
        <v>46128</v>
      </c>
      <c r="B158" s="5" t="n">
        <v>6254535</v>
      </c>
      <c r="C158" s="6" t="s">
        <v>160</v>
      </c>
      <c r="D158" s="7" t="n">
        <v>66000</v>
      </c>
      <c r="E158" s="6" t="n">
        <v>1950</v>
      </c>
      <c r="F158" s="5" t="n">
        <f aca="false">IF(OR(D158="",D158=0),"",B158/D158)</f>
        <v>94.7656818181818</v>
      </c>
    </row>
    <row r="159" customFormat="false" ht="15" hidden="false" customHeight="false" outlineLevel="0" collapsed="false">
      <c r="A159" s="4" t="n">
        <v>46129</v>
      </c>
      <c r="B159" s="5" t="n">
        <v>50500000</v>
      </c>
      <c r="C159" s="6" t="s">
        <v>161</v>
      </c>
      <c r="D159" s="7" t="n">
        <v>34364</v>
      </c>
      <c r="E159" s="6" t="n">
        <v>2020</v>
      </c>
      <c r="F159" s="5" t="n">
        <f aca="false">IF(OR(D159="",D159=0),"",B159/D159)</f>
        <v>1469.56116866488</v>
      </c>
    </row>
    <row r="160" customFormat="false" ht="15" hidden="false" customHeight="false" outlineLevel="0" collapsed="false">
      <c r="A160" s="4" t="n">
        <v>46129</v>
      </c>
      <c r="B160" s="5" t="n">
        <v>7200000</v>
      </c>
      <c r="C160" s="6" t="s">
        <v>162</v>
      </c>
      <c r="D160" s="7" t="n">
        <v>24108</v>
      </c>
      <c r="E160" s="6" t="n">
        <v>1952</v>
      </c>
      <c r="F160" s="5" t="n">
        <f aca="false">IF(OR(D160="",D160=0),"",B160/D160)</f>
        <v>298.656047784968</v>
      </c>
    </row>
    <row r="161" customFormat="false" ht="15" hidden="false" customHeight="false" outlineLevel="0" collapsed="false">
      <c r="A161" s="4" t="n">
        <v>46132</v>
      </c>
      <c r="B161" s="5" t="n">
        <v>8427138.42</v>
      </c>
      <c r="C161" s="6" t="s">
        <v>163</v>
      </c>
      <c r="D161" s="7" t="n">
        <v>142500</v>
      </c>
      <c r="E161" s="6" t="n">
        <v>1927</v>
      </c>
      <c r="F161" s="5" t="n">
        <f aca="false">IF(OR(D161="",D161=0),"",B161/D161)</f>
        <v>59.1378134736842</v>
      </c>
    </row>
    <row r="162" customFormat="false" ht="15" hidden="false" customHeight="false" outlineLevel="0" collapsed="false">
      <c r="A162" s="4" t="n">
        <v>46133</v>
      </c>
      <c r="B162" s="5" t="n">
        <v>9793554.96</v>
      </c>
      <c r="C162" s="6" t="s">
        <v>164</v>
      </c>
      <c r="D162" s="7" t="n">
        <v>84611</v>
      </c>
      <c r="E162" s="6" t="n">
        <v>1955</v>
      </c>
      <c r="F162" s="5" t="n">
        <f aca="false">IF(OR(D162="",D162=0),"",B162/D162)</f>
        <v>115.748011015116</v>
      </c>
    </row>
    <row r="163" customFormat="false" ht="15" hidden="false" customHeight="false" outlineLevel="0" collapsed="false">
      <c r="A163" s="4" t="n">
        <v>46134</v>
      </c>
      <c r="B163" s="5" t="n">
        <v>21950000</v>
      </c>
      <c r="C163" s="6" t="s">
        <v>59</v>
      </c>
      <c r="D163" s="7" t="n">
        <v>695701</v>
      </c>
      <c r="E163" s="6" t="n">
        <v>2005</v>
      </c>
      <c r="F163" s="5" t="n">
        <f aca="false">IF(OR(D163="",D163=0),"",B163/D163)</f>
        <v>31.5509105204678</v>
      </c>
    </row>
    <row r="164" customFormat="false" ht="15" hidden="false" customHeight="false" outlineLevel="0" collapsed="false">
      <c r="A164" s="4" t="n">
        <v>46134</v>
      </c>
      <c r="B164" s="5" t="n">
        <v>17350000</v>
      </c>
      <c r="C164" s="6" t="s">
        <v>165</v>
      </c>
      <c r="D164" s="7" t="n">
        <v>366501</v>
      </c>
      <c r="E164" s="6" t="n">
        <v>2007</v>
      </c>
      <c r="F164" s="5" t="n">
        <f aca="false">IF(OR(D164="",D164=0),"",B164/D164)</f>
        <v>47.3395706969422</v>
      </c>
    </row>
    <row r="165" customFormat="false" ht="15" hidden="false" customHeight="false" outlineLevel="0" collapsed="false">
      <c r="A165" s="4" t="n">
        <v>46134</v>
      </c>
      <c r="B165" s="5" t="n">
        <v>8191666.67</v>
      </c>
      <c r="C165" s="6" t="s">
        <v>166</v>
      </c>
      <c r="D165" s="7"/>
      <c r="E165" s="6"/>
      <c r="F165" s="5" t="str">
        <f aca="false">IF(OR(D165="",D165=0),"",B165/D165)</f>
        <v/>
      </c>
    </row>
    <row r="166" customFormat="false" ht="15" hidden="false" customHeight="false" outlineLevel="0" collapsed="false">
      <c r="A166" s="4" t="n">
        <v>46134</v>
      </c>
      <c r="B166" s="5" t="n">
        <v>7166666.67</v>
      </c>
      <c r="C166" s="6" t="s">
        <v>167</v>
      </c>
      <c r="D166" s="7"/>
      <c r="E166" s="6"/>
      <c r="F166" s="5" t="str">
        <f aca="false">IF(OR(D166="",D166=0),"",B166/D166)</f>
        <v/>
      </c>
    </row>
    <row r="167" customFormat="false" ht="15" hidden="false" customHeight="false" outlineLevel="0" collapsed="false">
      <c r="A167" s="4" t="n">
        <v>46134</v>
      </c>
      <c r="B167" s="5" t="n">
        <v>6591666.66</v>
      </c>
      <c r="C167" s="6" t="s">
        <v>168</v>
      </c>
      <c r="D167" s="7"/>
      <c r="E167" s="6"/>
      <c r="F167" s="5" t="str">
        <f aca="false">IF(OR(D167="",D167=0),"",B167/D167)</f>
        <v/>
      </c>
    </row>
    <row r="168" customFormat="false" ht="15" hidden="false" customHeight="false" outlineLevel="0" collapsed="false">
      <c r="A168" s="4" t="n">
        <v>46135</v>
      </c>
      <c r="B168" s="5" t="n">
        <v>65000000</v>
      </c>
      <c r="C168" s="6" t="s">
        <v>169</v>
      </c>
      <c r="D168" s="7" t="n">
        <v>81172</v>
      </c>
      <c r="E168" s="6" t="n">
        <v>2018</v>
      </c>
      <c r="F168" s="5" t="n">
        <f aca="false">IF(OR(D168="",D168=0),"",B168/D168)</f>
        <v>800.768737988469</v>
      </c>
    </row>
    <row r="169" customFormat="false" ht="15" hidden="false" customHeight="false" outlineLevel="0" collapsed="false">
      <c r="A169" s="4" t="n">
        <v>46135</v>
      </c>
      <c r="B169" s="5" t="n">
        <v>14166087.91</v>
      </c>
      <c r="C169" s="6" t="s">
        <v>170</v>
      </c>
      <c r="D169" s="7" t="n">
        <v>146660</v>
      </c>
      <c r="E169" s="6" t="n">
        <v>1962</v>
      </c>
      <c r="F169" s="5" t="n">
        <f aca="false">IF(OR(D169="",D169=0),"",B169/D169)</f>
        <v>96.5913535387972</v>
      </c>
    </row>
    <row r="170" customFormat="false" ht="15" hidden="false" customHeight="false" outlineLevel="0" collapsed="false">
      <c r="A170" s="4" t="n">
        <v>46135</v>
      </c>
      <c r="B170" s="5" t="n">
        <v>12253104.75</v>
      </c>
      <c r="C170" s="6" t="s">
        <v>171</v>
      </c>
      <c r="D170" s="7" t="n">
        <v>79450</v>
      </c>
      <c r="E170" s="6" t="n">
        <v>1931</v>
      </c>
      <c r="F170" s="5" t="n">
        <f aca="false">IF(OR(D170="",D170=0),"",B170/D170)</f>
        <v>154.224100062933</v>
      </c>
    </row>
    <row r="171" customFormat="false" ht="15" hidden="false" customHeight="false" outlineLevel="0" collapsed="false">
      <c r="A171" s="4" t="n">
        <v>46136</v>
      </c>
      <c r="B171" s="5" t="n">
        <v>316000000</v>
      </c>
      <c r="C171" s="6" t="s">
        <v>172</v>
      </c>
      <c r="D171" s="7" t="n">
        <v>411780</v>
      </c>
      <c r="E171" s="6" t="n">
        <v>1962</v>
      </c>
      <c r="F171" s="5" t="n">
        <f aca="false">IF(OR(D171="",D171=0),"",B171/D171)</f>
        <v>767.400067997474</v>
      </c>
    </row>
    <row r="172" customFormat="false" ht="15" hidden="false" customHeight="false" outlineLevel="0" collapsed="false">
      <c r="A172" s="4" t="n">
        <v>46136</v>
      </c>
      <c r="B172" s="5" t="n">
        <v>62000000</v>
      </c>
      <c r="C172" s="6" t="s">
        <v>172</v>
      </c>
      <c r="D172" s="7" t="n">
        <v>411780</v>
      </c>
      <c r="E172" s="6" t="n">
        <v>1962</v>
      </c>
      <c r="F172" s="5" t="n">
        <f aca="false">IF(OR(D172="",D172=0),"",B172/D172)</f>
        <v>150.565836126087</v>
      </c>
    </row>
    <row r="173" customFormat="false" ht="15" hidden="false" customHeight="false" outlineLevel="0" collapsed="false">
      <c r="A173" s="4" t="n">
        <v>46136</v>
      </c>
      <c r="B173" s="5" t="n">
        <v>19398250</v>
      </c>
      <c r="C173" s="6" t="s">
        <v>173</v>
      </c>
      <c r="D173" s="7" t="n">
        <v>122729</v>
      </c>
      <c r="E173" s="6" t="n">
        <v>1926</v>
      </c>
      <c r="F173" s="5" t="n">
        <f aca="false">IF(OR(D173="",D173=0),"",B173/D173)</f>
        <v>158.057590300581</v>
      </c>
    </row>
    <row r="174" customFormat="false" ht="15" hidden="false" customHeight="false" outlineLevel="0" collapsed="false">
      <c r="A174" s="4" t="n">
        <v>46139</v>
      </c>
      <c r="B174" s="5" t="n">
        <v>19750000</v>
      </c>
      <c r="C174" s="6" t="s">
        <v>174</v>
      </c>
      <c r="D174" s="7" t="n">
        <v>24350</v>
      </c>
      <c r="E174" s="6" t="n">
        <v>2024</v>
      </c>
      <c r="F174" s="5" t="n">
        <f aca="false">IF(OR(D174="",D174=0),"",B174/D174)</f>
        <v>811.088295687885</v>
      </c>
    </row>
    <row r="175" customFormat="false" ht="15" hidden="false" customHeight="false" outlineLevel="0" collapsed="false">
      <c r="A175" s="4" t="n">
        <v>46139</v>
      </c>
      <c r="B175" s="5" t="n">
        <v>7850000</v>
      </c>
      <c r="C175" s="6" t="s">
        <v>175</v>
      </c>
      <c r="D175" s="7" t="n">
        <v>124805</v>
      </c>
      <c r="E175" s="6" t="n">
        <v>1966</v>
      </c>
      <c r="F175" s="5" t="n">
        <f aca="false">IF(OR(D175="",D175=0),"",B175/D175)</f>
        <v>62.8981210688674</v>
      </c>
    </row>
    <row r="176" customFormat="false" ht="15" hidden="false" customHeight="false" outlineLevel="0" collapsed="false">
      <c r="A176" s="4" t="n">
        <v>46140</v>
      </c>
      <c r="B176" s="5" t="n">
        <v>64000000</v>
      </c>
      <c r="C176" s="6" t="s">
        <v>176</v>
      </c>
      <c r="D176" s="7" t="n">
        <v>242697</v>
      </c>
      <c r="E176" s="6" t="n">
        <v>2006</v>
      </c>
      <c r="F176" s="5" t="n">
        <f aca="false">IF(OR(D176="",D176=0),"",B176/D176)</f>
        <v>263.703300823661</v>
      </c>
    </row>
    <row r="177" customFormat="false" ht="15" hidden="false" customHeight="false" outlineLevel="0" collapsed="false">
      <c r="A177" s="4" t="n">
        <v>46140</v>
      </c>
      <c r="B177" s="5" t="n">
        <v>34200000</v>
      </c>
      <c r="C177" s="6" t="s">
        <v>177</v>
      </c>
      <c r="D177" s="7" t="n">
        <v>48539</v>
      </c>
      <c r="E177" s="6" t="n">
        <v>1987</v>
      </c>
      <c r="F177" s="5" t="n">
        <f aca="false">IF(OR(D177="",D177=0),"",B177/D177)</f>
        <v>704.588063206906</v>
      </c>
    </row>
    <row r="178" customFormat="false" ht="15" hidden="false" customHeight="false" outlineLevel="0" collapsed="false">
      <c r="A178" s="4" t="n">
        <v>46140</v>
      </c>
      <c r="B178" s="5" t="n">
        <v>29200000</v>
      </c>
      <c r="C178" s="6" t="s">
        <v>178</v>
      </c>
      <c r="D178" s="7" t="n">
        <v>10662</v>
      </c>
      <c r="E178" s="6" t="n">
        <v>1930</v>
      </c>
      <c r="F178" s="5" t="n">
        <f aca="false">IF(OR(D178="",D178=0),"",B178/D178)</f>
        <v>2738.69818045395</v>
      </c>
    </row>
    <row r="179" customFormat="false" ht="15" hidden="false" customHeight="false" outlineLevel="0" collapsed="false">
      <c r="A179" s="4" t="n">
        <v>46140</v>
      </c>
      <c r="B179" s="5" t="n">
        <v>23520000</v>
      </c>
      <c r="C179" s="6" t="s">
        <v>179</v>
      </c>
      <c r="D179" s="7" t="n">
        <v>11496</v>
      </c>
      <c r="E179" s="6" t="n">
        <v>1890</v>
      </c>
      <c r="F179" s="5" t="n">
        <f aca="false">IF(OR(D179="",D179=0),"",B179/D179)</f>
        <v>2045.92901878914</v>
      </c>
    </row>
    <row r="180" customFormat="false" ht="15" hidden="false" customHeight="false" outlineLevel="0" collapsed="false">
      <c r="A180" s="4" t="n">
        <v>46141</v>
      </c>
      <c r="B180" s="5" t="n">
        <v>46946262.82</v>
      </c>
      <c r="C180" s="6" t="s">
        <v>180</v>
      </c>
      <c r="D180" s="7" t="n">
        <v>187567</v>
      </c>
      <c r="E180" s="6" t="n">
        <v>1913</v>
      </c>
      <c r="F180" s="5" t="n">
        <f aca="false">IF(OR(D180="",D180=0),"",B180/D180)</f>
        <v>250.290631187789</v>
      </c>
    </row>
    <row r="181" customFormat="false" ht="15" hidden="false" customHeight="false" outlineLevel="0" collapsed="false">
      <c r="A181" s="4" t="n">
        <v>46141</v>
      </c>
      <c r="B181" s="5" t="n">
        <v>33000000</v>
      </c>
      <c r="C181" s="6" t="s">
        <v>181</v>
      </c>
      <c r="D181" s="7"/>
      <c r="E181" s="6"/>
      <c r="F181" s="5" t="str">
        <f aca="false">IF(OR(D181="",D181=0),"",B181/D181)</f>
        <v/>
      </c>
    </row>
    <row r="182" customFormat="false" ht="15" hidden="false" customHeight="false" outlineLevel="0" collapsed="false">
      <c r="A182" s="4" t="n">
        <v>46141</v>
      </c>
      <c r="B182" s="5" t="n">
        <v>16000000</v>
      </c>
      <c r="C182" s="6" t="s">
        <v>182</v>
      </c>
      <c r="D182" s="7"/>
      <c r="E182" s="6"/>
      <c r="F182" s="5" t="str">
        <f aca="false">IF(OR(D182="",D182=0),"",B182/D182)</f>
        <v/>
      </c>
    </row>
    <row r="183" customFormat="false" ht="15" hidden="false" customHeight="false" outlineLevel="0" collapsed="false">
      <c r="A183" s="4" t="n">
        <v>46143</v>
      </c>
      <c r="B183" s="5" t="n">
        <v>8500000</v>
      </c>
      <c r="C183" s="6" t="s">
        <v>183</v>
      </c>
      <c r="D183" s="7" t="n">
        <v>27066</v>
      </c>
      <c r="E183" s="6" t="n">
        <v>2018</v>
      </c>
      <c r="F183" s="5" t="n">
        <f aca="false">IF(OR(D183="",D183=0),"",B183/D183)</f>
        <v>314.047144018326</v>
      </c>
    </row>
    <row r="184" customFormat="false" ht="15" hidden="false" customHeight="false" outlineLevel="0" collapsed="false">
      <c r="A184" s="4" t="n">
        <v>46147</v>
      </c>
      <c r="B184" s="5" t="n">
        <v>13000000</v>
      </c>
      <c r="C184" s="6" t="s">
        <v>184</v>
      </c>
      <c r="D184" s="7" t="n">
        <v>61620</v>
      </c>
      <c r="E184" s="6" t="n">
        <v>1971</v>
      </c>
      <c r="F184" s="5" t="n">
        <f aca="false">IF(OR(D184="",D184=0),"",B184/D184)</f>
        <v>210.970464135021</v>
      </c>
    </row>
    <row r="185" customFormat="false" ht="15" hidden="false" customHeight="false" outlineLevel="0" collapsed="false">
      <c r="A185" s="4" t="n">
        <v>46148</v>
      </c>
      <c r="B185" s="5" t="n">
        <v>121350000</v>
      </c>
      <c r="C185" s="6" t="s">
        <v>185</v>
      </c>
      <c r="D185" s="7" t="n">
        <v>555920</v>
      </c>
      <c r="E185" s="6" t="n">
        <v>1912</v>
      </c>
      <c r="F185" s="5" t="n">
        <f aca="false">IF(OR(D185="",D185=0),"",B185/D185)</f>
        <v>218.28680385667</v>
      </c>
    </row>
    <row r="186" customFormat="false" ht="15" hidden="false" customHeight="false" outlineLevel="0" collapsed="false">
      <c r="A186" s="4" t="n">
        <v>46148</v>
      </c>
      <c r="B186" s="5" t="n">
        <v>32500000</v>
      </c>
      <c r="C186" s="6" t="s">
        <v>186</v>
      </c>
      <c r="D186" s="7" t="n">
        <v>94500</v>
      </c>
      <c r="E186" s="6" t="n">
        <v>2024</v>
      </c>
      <c r="F186" s="5" t="n">
        <f aca="false">IF(OR(D186="",D186=0),"",B186/D186)</f>
        <v>343.915343915344</v>
      </c>
    </row>
    <row r="187" customFormat="false" ht="15" hidden="false" customHeight="false" outlineLevel="0" collapsed="false">
      <c r="A187" s="4" t="n">
        <v>46148</v>
      </c>
      <c r="B187" s="5" t="n">
        <v>30000000</v>
      </c>
      <c r="C187" s="6" t="s">
        <v>187</v>
      </c>
      <c r="D187" s="7" t="n">
        <v>11360</v>
      </c>
      <c r="E187" s="6" t="n">
        <v>1925</v>
      </c>
      <c r="F187" s="5" t="n">
        <f aca="false">IF(OR(D187="",D187=0),"",B187/D187)</f>
        <v>2640.84507042254</v>
      </c>
    </row>
    <row r="188" customFormat="false" ht="15" hidden="false" customHeight="false" outlineLevel="0" collapsed="false">
      <c r="A188" s="4" t="n">
        <v>46148</v>
      </c>
      <c r="B188" s="5" t="n">
        <v>30000000</v>
      </c>
      <c r="C188" s="6" t="s">
        <v>188</v>
      </c>
      <c r="D188" s="7" t="n">
        <v>20507</v>
      </c>
      <c r="E188" s="6" t="n">
        <v>1918</v>
      </c>
      <c r="F188" s="5" t="n">
        <f aca="false">IF(OR(D188="",D188=0),"",B188/D188)</f>
        <v>1462.91510216024</v>
      </c>
    </row>
    <row r="189" customFormat="false" ht="15" hidden="false" customHeight="false" outlineLevel="0" collapsed="false">
      <c r="A189" s="4" t="n">
        <v>46149</v>
      </c>
      <c r="B189" s="5" t="n">
        <v>9875000</v>
      </c>
      <c r="C189" s="6" t="s">
        <v>189</v>
      </c>
      <c r="D189" s="7" t="n">
        <v>20726</v>
      </c>
      <c r="E189" s="6" t="n">
        <v>1955</v>
      </c>
      <c r="F189" s="5" t="n">
        <f aca="false">IF(OR(D189="",D189=0),"",B189/D189)</f>
        <v>476.45469458651</v>
      </c>
    </row>
    <row r="190" customFormat="false" ht="15" hidden="false" customHeight="false" outlineLevel="0" collapsed="false">
      <c r="A190" s="4" t="n">
        <v>46154</v>
      </c>
      <c r="B190" s="5" t="n">
        <v>17200000</v>
      </c>
      <c r="C190" s="6" t="s">
        <v>190</v>
      </c>
      <c r="D190" s="7" t="n">
        <v>40344</v>
      </c>
      <c r="E190" s="6" t="n">
        <v>1978</v>
      </c>
      <c r="F190" s="5" t="n">
        <f aca="false">IF(OR(D190="",D190=0),"",B190/D190)</f>
        <v>426.333531627999</v>
      </c>
    </row>
    <row r="191" customFormat="false" ht="15" hidden="false" customHeight="false" outlineLevel="0" collapsed="false">
      <c r="A191" s="4" t="n">
        <v>46154</v>
      </c>
      <c r="B191" s="5" t="n">
        <v>11153700.19</v>
      </c>
      <c r="C191" s="6" t="s">
        <v>191</v>
      </c>
      <c r="D191" s="7" t="n">
        <v>9500</v>
      </c>
      <c r="E191" s="6" t="n">
        <v>1931</v>
      </c>
      <c r="F191" s="5" t="n">
        <f aca="false">IF(OR(D191="",D191=0),"",B191/D191)</f>
        <v>1174.07370421053</v>
      </c>
    </row>
    <row r="192" customFormat="false" ht="15" hidden="false" customHeight="false" outlineLevel="0" collapsed="false">
      <c r="A192" s="4" t="n">
        <v>46155</v>
      </c>
      <c r="B192" s="5" t="n">
        <v>3965000</v>
      </c>
      <c r="C192" s="6" t="s">
        <v>192</v>
      </c>
      <c r="D192" s="7" t="n">
        <v>72276</v>
      </c>
      <c r="E192" s="6" t="n">
        <v>1936</v>
      </c>
      <c r="F192" s="5" t="n">
        <f aca="false">IF(OR(D192="",D192=0),"",B192/D192)</f>
        <v>54.8591510321545</v>
      </c>
    </row>
    <row r="193" customFormat="false" ht="15" hidden="false" customHeight="false" outlineLevel="0" collapsed="false">
      <c r="A193" s="4" t="n">
        <v>46156</v>
      </c>
      <c r="B193" s="5" t="n">
        <v>36000000</v>
      </c>
      <c r="C193" s="6" t="s">
        <v>193</v>
      </c>
      <c r="D193" s="7" t="n">
        <v>103047</v>
      </c>
      <c r="E193" s="6" t="n">
        <v>1857</v>
      </c>
      <c r="F193" s="5" t="n">
        <f aca="false">IF(OR(D193="",D193=0),"",B193/D193)</f>
        <v>349.355148621503</v>
      </c>
    </row>
    <row r="194" customFormat="false" ht="15" hidden="false" customHeight="false" outlineLevel="0" collapsed="false">
      <c r="A194" s="4" t="n">
        <v>46156</v>
      </c>
      <c r="B194" s="5" t="n">
        <v>13500000</v>
      </c>
      <c r="C194" s="6" t="s">
        <v>194</v>
      </c>
      <c r="D194" s="7" t="n">
        <v>25234</v>
      </c>
      <c r="E194" s="6" t="n">
        <v>1950</v>
      </c>
      <c r="F194" s="5" t="n">
        <f aca="false">IF(OR(D194="",D194=0),"",B194/D194)</f>
        <v>534.992470476341</v>
      </c>
    </row>
    <row r="195" customFormat="false" ht="15" hidden="false" customHeight="false" outlineLevel="0" collapsed="false">
      <c r="A195" s="4" t="n">
        <v>46157</v>
      </c>
      <c r="B195" s="5" t="n">
        <v>251715000</v>
      </c>
      <c r="C195" s="6" t="s">
        <v>195</v>
      </c>
      <c r="D195" s="7"/>
      <c r="E195" s="6"/>
      <c r="F195" s="5" t="str">
        <f aca="false">IF(OR(D195="",D195=0),"",B195/D195)</f>
        <v/>
      </c>
    </row>
    <row r="196" customFormat="false" ht="15" hidden="false" customHeight="false" outlineLevel="0" collapsed="false">
      <c r="A196" s="4" t="n">
        <v>46157</v>
      </c>
      <c r="B196" s="5" t="n">
        <v>199069000</v>
      </c>
      <c r="C196" s="6" t="s">
        <v>196</v>
      </c>
      <c r="D196" s="7"/>
      <c r="E196" s="6"/>
      <c r="F196" s="5" t="str">
        <f aca="false">IF(OR(D196="",D196=0),"",B196/D196)</f>
        <v/>
      </c>
    </row>
    <row r="197" customFormat="false" ht="15" hidden="false" customHeight="false" outlineLevel="0" collapsed="false">
      <c r="A197" s="4" t="n">
        <v>46157</v>
      </c>
      <c r="B197" s="5" t="n">
        <v>13250000</v>
      </c>
      <c r="C197" s="6" t="s">
        <v>197</v>
      </c>
      <c r="D197" s="7" t="n">
        <v>4974</v>
      </c>
      <c r="E197" s="6" t="n">
        <v>2022</v>
      </c>
      <c r="F197" s="5" t="n">
        <f aca="false">IF(OR(D197="",D197=0),"",B197/D197)</f>
        <v>2663.85203055891</v>
      </c>
    </row>
    <row r="198" customFormat="false" ht="15" hidden="false" customHeight="false" outlineLevel="0" collapsed="false">
      <c r="A198" s="4" t="n">
        <v>46160</v>
      </c>
      <c r="B198" s="5" t="n">
        <v>66225000</v>
      </c>
      <c r="C198" s="6" t="s">
        <v>198</v>
      </c>
      <c r="D198" s="7" t="n">
        <v>54959</v>
      </c>
      <c r="E198" s="6" t="n">
        <v>1999</v>
      </c>
      <c r="F198" s="5" t="n">
        <f aca="false">IF(OR(D198="",D198=0),"",B198/D198)</f>
        <v>1204.9891737477</v>
      </c>
    </row>
    <row r="199" customFormat="false" ht="15" hidden="false" customHeight="false" outlineLevel="0" collapsed="false">
      <c r="A199" s="4" t="n">
        <v>46160</v>
      </c>
      <c r="B199" s="5" t="n">
        <v>44975000</v>
      </c>
      <c r="C199" s="6" t="s">
        <v>199</v>
      </c>
      <c r="D199" s="7" t="n">
        <v>10054</v>
      </c>
      <c r="E199" s="6" t="n">
        <v>1920</v>
      </c>
      <c r="F199" s="5" t="n">
        <f aca="false">IF(OR(D199="",D199=0),"",B199/D199)</f>
        <v>4473.34394270937</v>
      </c>
    </row>
    <row r="200" customFormat="false" ht="15" hidden="false" customHeight="false" outlineLevel="0" collapsed="false">
      <c r="A200" s="4" t="n">
        <v>46160</v>
      </c>
      <c r="B200" s="5" t="n">
        <v>40536230.35</v>
      </c>
      <c r="C200" s="6" t="s">
        <v>118</v>
      </c>
      <c r="D200" s="7" t="n">
        <v>10004</v>
      </c>
      <c r="E200" s="6" t="n">
        <v>1877</v>
      </c>
      <c r="F200" s="5" t="n">
        <f aca="false">IF(OR(D200="",D200=0),"",B200/D200)</f>
        <v>4052.00223410636</v>
      </c>
    </row>
    <row r="201" customFormat="false" ht="15" hidden="false" customHeight="false" outlineLevel="0" collapsed="false">
      <c r="A201" s="4" t="n">
        <v>46160</v>
      </c>
      <c r="B201" s="5" t="n">
        <v>23500000</v>
      </c>
      <c r="C201" s="6" t="s">
        <v>200</v>
      </c>
      <c r="D201" s="7" t="n">
        <v>154378</v>
      </c>
      <c r="E201" s="6" t="n">
        <v>1964</v>
      </c>
      <c r="F201" s="5" t="n">
        <f aca="false">IF(OR(D201="",D201=0),"",B201/D201)</f>
        <v>152.223762453199</v>
      </c>
    </row>
    <row r="202" customFormat="false" ht="15" hidden="false" customHeight="false" outlineLevel="0" collapsed="false">
      <c r="A202" s="4" t="n">
        <v>46160</v>
      </c>
      <c r="B202" s="5" t="n">
        <v>7735000</v>
      </c>
      <c r="C202" s="6" t="s">
        <v>201</v>
      </c>
      <c r="D202" s="7" t="n">
        <v>123000</v>
      </c>
      <c r="E202" s="6" t="n">
        <v>1936</v>
      </c>
      <c r="F202" s="5" t="n">
        <f aca="false">IF(OR(D202="",D202=0),"",B202/D202)</f>
        <v>62.8861788617886</v>
      </c>
    </row>
    <row r="203" customFormat="false" ht="15" hidden="false" customHeight="false" outlineLevel="0" collapsed="false">
      <c r="A203" s="4" t="n">
        <v>46160</v>
      </c>
      <c r="B203" s="5" t="n">
        <v>6750000</v>
      </c>
      <c r="C203" s="6" t="s">
        <v>202</v>
      </c>
      <c r="D203" s="7" t="n">
        <v>33000</v>
      </c>
      <c r="E203" s="6" t="n">
        <v>1959</v>
      </c>
      <c r="F203" s="5" t="n">
        <f aca="false">IF(OR(D203="",D203=0),"",B203/D203)</f>
        <v>204.545454545455</v>
      </c>
    </row>
    <row r="204" customFormat="false" ht="15" hidden="false" customHeight="false" outlineLevel="0" collapsed="false">
      <c r="A204" s="4" t="n">
        <v>46160</v>
      </c>
      <c r="B204" s="5" t="n">
        <v>5540000</v>
      </c>
      <c r="C204" s="6" t="s">
        <v>203</v>
      </c>
      <c r="D204" s="7" t="n">
        <v>33310</v>
      </c>
      <c r="E204" s="6" t="n">
        <v>2010</v>
      </c>
      <c r="F204" s="5" t="n">
        <f aca="false">IF(OR(D204="",D204=0),"",B204/D204)</f>
        <v>166.316421495047</v>
      </c>
    </row>
    <row r="205" customFormat="false" ht="15" hidden="false" customHeight="false" outlineLevel="0" collapsed="false">
      <c r="A205" s="4" t="n">
        <v>46161</v>
      </c>
      <c r="B205" s="5" t="n">
        <v>43333000</v>
      </c>
      <c r="C205" s="6" t="s">
        <v>204</v>
      </c>
      <c r="D205" s="7" t="n">
        <v>32125</v>
      </c>
      <c r="E205" s="6" t="n">
        <v>2014</v>
      </c>
      <c r="F205" s="5" t="n">
        <f aca="false">IF(OR(D205="",D205=0),"",B205/D205)</f>
        <v>1348.88715953307</v>
      </c>
    </row>
    <row r="206" customFormat="false" ht="15" hidden="false" customHeight="false" outlineLevel="0" collapsed="false">
      <c r="A206" s="4" t="n">
        <v>46161</v>
      </c>
      <c r="B206" s="5" t="n">
        <v>42000000</v>
      </c>
      <c r="C206" s="6" t="s">
        <v>205</v>
      </c>
      <c r="D206" s="7" t="n">
        <v>91494</v>
      </c>
      <c r="E206" s="6" t="n">
        <v>1925</v>
      </c>
      <c r="F206" s="5" t="n">
        <f aca="false">IF(OR(D206="",D206=0),"",B206/D206)</f>
        <v>459.046494852121</v>
      </c>
    </row>
    <row r="207" customFormat="false" ht="15" hidden="false" customHeight="false" outlineLevel="0" collapsed="false">
      <c r="A207" s="4" t="n">
        <v>46161</v>
      </c>
      <c r="B207" s="5" t="n">
        <v>4700000</v>
      </c>
      <c r="C207" s="6" t="s">
        <v>206</v>
      </c>
      <c r="D207" s="7" t="n">
        <v>10315</v>
      </c>
      <c r="E207" s="6" t="n">
        <v>1935</v>
      </c>
      <c r="F207" s="5" t="n">
        <f aca="false">IF(OR(D207="",D207=0),"",B207/D207)</f>
        <v>455.647115850703</v>
      </c>
    </row>
    <row r="208" customFormat="false" ht="15" hidden="false" customHeight="false" outlineLevel="0" collapsed="false">
      <c r="A208" s="4" t="n">
        <v>46162</v>
      </c>
      <c r="B208" s="5" t="n">
        <v>18500000</v>
      </c>
      <c r="C208" s="6" t="s">
        <v>207</v>
      </c>
      <c r="D208" s="7" t="n">
        <v>46918</v>
      </c>
      <c r="E208" s="6" t="n">
        <v>1949</v>
      </c>
      <c r="F208" s="5" t="n">
        <f aca="false">IF(OR(D208="",D208=0),"",B208/D208)</f>
        <v>394.304957585575</v>
      </c>
    </row>
    <row r="209" customFormat="false" ht="15" hidden="false" customHeight="false" outlineLevel="0" collapsed="false">
      <c r="A209" s="4" t="n">
        <v>46162</v>
      </c>
      <c r="B209" s="5" t="n">
        <v>10450000</v>
      </c>
      <c r="C209" s="6" t="s">
        <v>208</v>
      </c>
      <c r="D209" s="7" t="n">
        <v>30607</v>
      </c>
      <c r="E209" s="6" t="n">
        <v>2007</v>
      </c>
      <c r="F209" s="5" t="n">
        <f aca="false">IF(OR(D209="",D209=0),"",B209/D209)</f>
        <v>341.425164178129</v>
      </c>
    </row>
    <row r="210" customFormat="false" ht="15" hidden="false" customHeight="false" outlineLevel="0" collapsed="false">
      <c r="A210" s="4" t="n">
        <v>46168</v>
      </c>
      <c r="B210" s="5" t="n">
        <v>70000000</v>
      </c>
      <c r="C210" s="6" t="s">
        <v>209</v>
      </c>
      <c r="D210" s="7" t="n">
        <v>7767</v>
      </c>
      <c r="E210" s="6" t="n">
        <v>1846</v>
      </c>
      <c r="F210" s="5" t="n">
        <f aca="false">IF(OR(D210="",D210=0),"",B210/D210)</f>
        <v>9012.48873438908</v>
      </c>
    </row>
    <row r="211" customFormat="false" ht="15" hidden="false" customHeight="false" outlineLevel="0" collapsed="false">
      <c r="A211" s="4" t="n">
        <v>46168</v>
      </c>
      <c r="B211" s="5" t="n">
        <v>51425352.35</v>
      </c>
      <c r="C211" s="6" t="s">
        <v>210</v>
      </c>
      <c r="D211" s="7" t="n">
        <v>32282</v>
      </c>
      <c r="E211" s="6" t="n">
        <v>2016</v>
      </c>
      <c r="F211" s="5" t="n">
        <f aca="false">IF(OR(D211="",D211=0),"",B211/D211)</f>
        <v>1593.00391394585</v>
      </c>
    </row>
    <row r="212" customFormat="false" ht="15" hidden="false" customHeight="false" outlineLevel="0" collapsed="false">
      <c r="A212" s="4" t="n">
        <v>46168</v>
      </c>
      <c r="B212" s="5" t="n">
        <v>39000000</v>
      </c>
      <c r="C212" s="6" t="s">
        <v>211</v>
      </c>
      <c r="D212" s="7" t="n">
        <v>59400</v>
      </c>
      <c r="E212" s="6" t="n">
        <v>1958</v>
      </c>
      <c r="F212" s="5" t="n">
        <f aca="false">IF(OR(D212="",D212=0),"",B212/D212)</f>
        <v>656.565656565657</v>
      </c>
    </row>
    <row r="213" customFormat="false" ht="15" hidden="false" customHeight="false" outlineLevel="0" collapsed="false">
      <c r="A213" s="4" t="n">
        <v>46168</v>
      </c>
      <c r="B213" s="5" t="n">
        <v>11150000</v>
      </c>
      <c r="C213" s="6" t="s">
        <v>212</v>
      </c>
      <c r="D213" s="7" t="n">
        <v>4854</v>
      </c>
      <c r="E213" s="6" t="n">
        <v>1930</v>
      </c>
      <c r="F213" s="5" t="n">
        <f aca="false">IF(OR(D213="",D213=0),"",B213/D213)</f>
        <v>2297.0745776679</v>
      </c>
    </row>
    <row r="214" customFormat="false" ht="15" hidden="false" customHeight="false" outlineLevel="0" collapsed="false">
      <c r="A214" s="4" t="n">
        <v>46168</v>
      </c>
      <c r="B214" s="5" t="n">
        <v>10664667</v>
      </c>
      <c r="C214" s="6" t="s">
        <v>213</v>
      </c>
      <c r="D214" s="7" t="n">
        <v>5965</v>
      </c>
      <c r="E214" s="6" t="n">
        <v>1931</v>
      </c>
      <c r="F214" s="5" t="n">
        <f aca="false">IF(OR(D214="",D214=0),"",B214/D214)</f>
        <v>1787.87376362112</v>
      </c>
    </row>
    <row r="215" customFormat="false" ht="15" hidden="false" customHeight="false" outlineLevel="0" collapsed="false">
      <c r="A215" s="4" t="n">
        <v>46169</v>
      </c>
      <c r="B215" s="5" t="n">
        <v>58500000</v>
      </c>
      <c r="C215" s="6" t="s">
        <v>214</v>
      </c>
      <c r="D215" s="7" t="n">
        <v>41067</v>
      </c>
      <c r="E215" s="6" t="n">
        <v>1914</v>
      </c>
      <c r="F215" s="5" t="n">
        <f aca="false">IF(OR(D215="",D215=0),"",B215/D215)</f>
        <v>1424.50142450142</v>
      </c>
    </row>
    <row r="216" customFormat="false" ht="15" hidden="false" customHeight="false" outlineLevel="0" collapsed="false">
      <c r="A216" s="4" t="n">
        <v>46170</v>
      </c>
      <c r="B216" s="5" t="n">
        <v>25550000</v>
      </c>
      <c r="C216" s="6" t="s">
        <v>215</v>
      </c>
      <c r="D216" s="7"/>
      <c r="E216" s="6"/>
      <c r="F216" s="5" t="str">
        <f aca="false">IF(OR(D216="",D216=0),"",B216/D216)</f>
        <v/>
      </c>
    </row>
    <row r="217" customFormat="false" ht="15" hidden="false" customHeight="false" outlineLevel="0" collapsed="false">
      <c r="A217" s="4" t="n">
        <v>46170</v>
      </c>
      <c r="B217" s="5" t="n">
        <v>4800000</v>
      </c>
      <c r="C217" s="6" t="s">
        <v>216</v>
      </c>
      <c r="D217" s="7" t="n">
        <v>17860</v>
      </c>
      <c r="E217" s="6" t="n">
        <v>2015</v>
      </c>
      <c r="F217" s="5" t="n">
        <f aca="false">IF(OR(D217="",D217=0),"",B217/D217)</f>
        <v>268.756998880179</v>
      </c>
    </row>
    <row r="218" customFormat="false" ht="15" hidden="false" customHeight="false" outlineLevel="0" collapsed="false">
      <c r="A218" s="4" t="n">
        <v>46170</v>
      </c>
      <c r="B218" s="5" t="n">
        <v>3950000</v>
      </c>
      <c r="C218" s="6" t="s">
        <v>217</v>
      </c>
      <c r="D218" s="7" t="n">
        <v>71850</v>
      </c>
      <c r="E218" s="6" t="n">
        <v>1926</v>
      </c>
      <c r="F218" s="5" t="n">
        <f aca="false">IF(OR(D218="",D218=0),"",B218/D218)</f>
        <v>54.9756437021573</v>
      </c>
    </row>
    <row r="219" customFormat="false" ht="15" hidden="false" customHeight="false" outlineLevel="0" collapsed="false">
      <c r="A219" s="4" t="n">
        <v>46170</v>
      </c>
      <c r="B219" s="5" t="n">
        <v>3475000</v>
      </c>
      <c r="C219" s="6" t="s">
        <v>218</v>
      </c>
      <c r="D219" s="7" t="n">
        <v>2500</v>
      </c>
      <c r="E219" s="6" t="n">
        <v>1941</v>
      </c>
      <c r="F219" s="5" t="n">
        <f aca="false">IF(OR(D219="",D219=0),"",B219/D219)</f>
        <v>1390</v>
      </c>
    </row>
    <row r="220" customFormat="false" ht="15" hidden="false" customHeight="false" outlineLevel="0" collapsed="false">
      <c r="A220" s="4" t="n">
        <v>46171</v>
      </c>
      <c r="B220" s="5" t="n">
        <v>31000000</v>
      </c>
      <c r="C220" s="6" t="s">
        <v>219</v>
      </c>
      <c r="D220" s="7" t="n">
        <v>23164</v>
      </c>
      <c r="E220" s="6" t="n">
        <v>1950</v>
      </c>
      <c r="F220" s="5" t="n">
        <f aca="false">IF(OR(D220="",D220=0),"",B220/D220)</f>
        <v>1338.28354342946</v>
      </c>
    </row>
    <row r="221" customFormat="false" ht="15" hidden="false" customHeight="false" outlineLevel="0" collapsed="false">
      <c r="A221" s="4" t="n">
        <v>46171</v>
      </c>
      <c r="B221" s="5" t="n">
        <v>16000000</v>
      </c>
      <c r="C221" s="6" t="s">
        <v>220</v>
      </c>
      <c r="D221" s="7" t="n">
        <v>174953</v>
      </c>
      <c r="E221" s="6" t="n">
        <v>2010</v>
      </c>
      <c r="F221" s="5" t="n">
        <f aca="false">IF(OR(D221="",D221=0),"",B221/D221)</f>
        <v>91.4531331271827</v>
      </c>
    </row>
    <row r="222" customFormat="false" ht="15" hidden="false" customHeight="false" outlineLevel="0" collapsed="false">
      <c r="A222" s="4" t="n">
        <v>46174</v>
      </c>
      <c r="B222" s="5" t="n">
        <v>35730500</v>
      </c>
      <c r="C222" s="6" t="s">
        <v>15</v>
      </c>
      <c r="D222" s="7" t="n">
        <v>469906</v>
      </c>
      <c r="E222" s="6" t="n">
        <v>2019</v>
      </c>
      <c r="F222" s="5" t="n">
        <f aca="false">IF(OR(D222="",D222=0),"",B222/D222)</f>
        <v>76.0375479351189</v>
      </c>
    </row>
    <row r="223" customFormat="false" ht="15" hidden="false" customHeight="false" outlineLevel="0" collapsed="false">
      <c r="A223" s="4" t="n">
        <v>46175</v>
      </c>
      <c r="B223" s="5" t="n">
        <v>4000000</v>
      </c>
      <c r="C223" s="6" t="s">
        <v>221</v>
      </c>
      <c r="D223" s="7" t="n">
        <v>10856</v>
      </c>
      <c r="E223" s="6" t="n">
        <v>1969</v>
      </c>
      <c r="F223" s="5" t="n">
        <f aca="false">IF(OR(D223="",D223=0),"",B223/D223)</f>
        <v>368.459837877671</v>
      </c>
    </row>
    <row r="224" customFormat="false" ht="15" hidden="false" customHeight="false" outlineLevel="0" collapsed="false">
      <c r="A224" s="4" t="n">
        <v>46176</v>
      </c>
      <c r="B224" s="5" t="n">
        <v>229621337.5</v>
      </c>
      <c r="C224" s="6" t="s">
        <v>222</v>
      </c>
      <c r="D224" s="7" t="n">
        <v>860000</v>
      </c>
      <c r="E224" s="6" t="n">
        <v>1959</v>
      </c>
      <c r="F224" s="5" t="n">
        <f aca="false">IF(OR(D224="",D224=0),"",B224/D224)</f>
        <v>267.001555232558</v>
      </c>
    </row>
    <row r="225" customFormat="false" ht="15" hidden="false" customHeight="false" outlineLevel="0" collapsed="false">
      <c r="A225" s="4" t="n">
        <v>46176</v>
      </c>
      <c r="B225" s="5" t="n">
        <v>31600000</v>
      </c>
      <c r="C225" s="6" t="s">
        <v>223</v>
      </c>
      <c r="D225" s="7" t="n">
        <v>35408</v>
      </c>
      <c r="E225" s="6" t="n">
        <v>1902</v>
      </c>
      <c r="F225" s="5" t="n">
        <f aca="false">IF(OR(D225="",D225=0),"",B225/D225)</f>
        <v>892.453682783552</v>
      </c>
    </row>
    <row r="226" customFormat="false" ht="15" hidden="false" customHeight="false" outlineLevel="0" collapsed="false">
      <c r="A226" s="4" t="n">
        <v>46176</v>
      </c>
      <c r="B226" s="5" t="n">
        <v>31000000</v>
      </c>
      <c r="C226" s="6" t="s">
        <v>224</v>
      </c>
      <c r="D226" s="7" t="n">
        <v>23355</v>
      </c>
      <c r="E226" s="6" t="n">
        <v>1844</v>
      </c>
      <c r="F226" s="5" t="n">
        <f aca="false">IF(OR(D226="",D226=0),"",B226/D226)</f>
        <v>1327.33889959323</v>
      </c>
    </row>
    <row r="227" customFormat="false" ht="15" hidden="false" customHeight="false" outlineLevel="0" collapsed="false">
      <c r="A227" s="4" t="n">
        <v>46177</v>
      </c>
      <c r="B227" s="5" t="n">
        <v>61345350</v>
      </c>
      <c r="C227" s="6" t="s">
        <v>225</v>
      </c>
      <c r="D227" s="7" t="n">
        <v>768321</v>
      </c>
      <c r="E227" s="6" t="n">
        <v>1930</v>
      </c>
      <c r="F227" s="5" t="n">
        <f aca="false">IF(OR(D227="",D227=0),"",B227/D227)</f>
        <v>79.843385772353</v>
      </c>
    </row>
    <row r="228" customFormat="false" ht="15" hidden="false" customHeight="false" outlineLevel="0" collapsed="false">
      <c r="A228" s="4" t="n">
        <v>46177</v>
      </c>
      <c r="B228" s="5" t="n">
        <v>52257150</v>
      </c>
      <c r="C228" s="6" t="s">
        <v>226</v>
      </c>
      <c r="D228" s="7" t="n">
        <v>806417</v>
      </c>
      <c r="E228" s="6" t="n">
        <v>1954</v>
      </c>
      <c r="F228" s="5" t="n">
        <f aca="false">IF(OR(D228="",D228=0),"",B228/D228)</f>
        <v>64.8016472867016</v>
      </c>
    </row>
    <row r="229" customFormat="false" ht="15" hidden="false" customHeight="false" outlineLevel="0" collapsed="false">
      <c r="A229" s="4" t="n">
        <v>46177</v>
      </c>
      <c r="B229" s="5" t="n">
        <v>49502044</v>
      </c>
      <c r="C229" s="6" t="s">
        <v>227</v>
      </c>
      <c r="D229" s="7" t="n">
        <v>58390</v>
      </c>
      <c r="E229" s="6" t="n">
        <v>2021</v>
      </c>
      <c r="F229" s="5" t="n">
        <f aca="false">IF(OR(D229="",D229=0),"",B229/D229)</f>
        <v>847.782908032197</v>
      </c>
    </row>
    <row r="230" customFormat="false" ht="15" hidden="false" customHeight="false" outlineLevel="0" collapsed="false">
      <c r="A230" s="4" t="n">
        <v>46177</v>
      </c>
      <c r="B230" s="5" t="n">
        <v>36291912.5</v>
      </c>
      <c r="C230" s="6" t="s">
        <v>15</v>
      </c>
      <c r="D230" s="7" t="n">
        <v>469906</v>
      </c>
      <c r="E230" s="6" t="n">
        <v>2019</v>
      </c>
      <c r="F230" s="5" t="n">
        <f aca="false">IF(OR(D230="",D230=0),"",B230/D230)</f>
        <v>77.2322815626955</v>
      </c>
    </row>
    <row r="231" customFormat="false" ht="15" hidden="false" customHeight="false" outlineLevel="0" collapsed="false">
      <c r="A231" s="4" t="n">
        <v>46177</v>
      </c>
      <c r="B231" s="5" t="n">
        <v>30750000</v>
      </c>
      <c r="C231" s="6" t="s">
        <v>228</v>
      </c>
      <c r="D231" s="7" t="n">
        <v>26550</v>
      </c>
      <c r="E231" s="6" t="n">
        <v>1900</v>
      </c>
      <c r="F231" s="5" t="n">
        <f aca="false">IF(OR(D231="",D231=0),"",B231/D231)</f>
        <v>1158.19209039548</v>
      </c>
    </row>
    <row r="232" customFormat="false" ht="15" hidden="false" customHeight="false" outlineLevel="0" collapsed="false">
      <c r="A232" s="4" t="n">
        <v>46178</v>
      </c>
      <c r="B232" s="5" t="n">
        <v>203000000</v>
      </c>
      <c r="C232" s="6" t="s">
        <v>229</v>
      </c>
      <c r="D232" s="7" t="n">
        <v>147220</v>
      </c>
      <c r="E232" s="6" t="n">
        <v>2014</v>
      </c>
      <c r="F232" s="5" t="n">
        <f aca="false">IF(OR(D232="",D232=0),"",B232/D232)</f>
        <v>1378.88873794321</v>
      </c>
    </row>
    <row r="233" customFormat="false" ht="15" hidden="false" customHeight="false" outlineLevel="0" collapsed="false">
      <c r="A233" s="4" t="n">
        <v>46178</v>
      </c>
      <c r="B233" s="5" t="n">
        <v>46125000</v>
      </c>
      <c r="C233" s="6" t="s">
        <v>230</v>
      </c>
      <c r="D233" s="7" t="n">
        <v>246174</v>
      </c>
      <c r="E233" s="6" t="n">
        <v>1966</v>
      </c>
      <c r="F233" s="5" t="n">
        <f aca="false">IF(OR(D233="",D233=0),"",B233/D233)</f>
        <v>187.367471788247</v>
      </c>
    </row>
    <row r="234" customFormat="false" ht="15" hidden="false" customHeight="false" outlineLevel="0" collapsed="false">
      <c r="A234" s="4" t="n">
        <v>46178</v>
      </c>
      <c r="B234" s="5" t="n">
        <v>6712875</v>
      </c>
      <c r="C234" s="6" t="s">
        <v>231</v>
      </c>
      <c r="D234" s="7" t="n">
        <v>13495</v>
      </c>
      <c r="E234" s="6" t="n">
        <v>1910</v>
      </c>
      <c r="F234" s="5" t="n">
        <f aca="false">IF(OR(D234="",D234=0),"",B234/D234)</f>
        <v>497.434234901816</v>
      </c>
    </row>
    <row r="235" customFormat="false" ht="15" hidden="false" customHeight="false" outlineLevel="0" collapsed="false">
      <c r="A235" s="4" t="n">
        <v>46178</v>
      </c>
      <c r="B235" s="5" t="n">
        <v>5680125</v>
      </c>
      <c r="C235" s="6" t="s">
        <v>232</v>
      </c>
      <c r="D235" s="7" t="n">
        <v>16685</v>
      </c>
      <c r="E235" s="6" t="n">
        <v>1910</v>
      </c>
      <c r="F235" s="5" t="n">
        <f aca="false">IF(OR(D235="",D235=0),"",B235/D235)</f>
        <v>340.433023673959</v>
      </c>
    </row>
    <row r="236" customFormat="false" ht="15" hidden="false" customHeight="false" outlineLevel="0" collapsed="false">
      <c r="A236" s="4" t="n">
        <v>46178</v>
      </c>
      <c r="B236" s="5" t="n">
        <v>4903829.91</v>
      </c>
      <c r="C236" s="6" t="s">
        <v>233</v>
      </c>
      <c r="D236" s="7" t="n">
        <v>36596</v>
      </c>
      <c r="E236" s="6" t="n">
        <v>2008</v>
      </c>
      <c r="F236" s="5" t="n">
        <f aca="false">IF(OR(D236="",D236=0),"",B236/D236)</f>
        <v>133.999068477429</v>
      </c>
    </row>
    <row r="237" customFormat="false" ht="15" hidden="false" customHeight="false" outlineLevel="0" collapsed="false">
      <c r="A237" s="4" t="n">
        <v>46178</v>
      </c>
      <c r="B237" s="5" t="n">
        <v>3992316</v>
      </c>
      <c r="C237" s="6" t="s">
        <v>234</v>
      </c>
      <c r="D237" s="7" t="n">
        <v>112785</v>
      </c>
      <c r="E237" s="6" t="n">
        <v>1929</v>
      </c>
      <c r="F237" s="5" t="n">
        <f aca="false">IF(OR(D237="",D237=0),"",B237/D237)</f>
        <v>35.3975794653544</v>
      </c>
    </row>
    <row r="238" customFormat="false" ht="15" hidden="false" customHeight="false" outlineLevel="0" collapsed="false">
      <c r="A238" s="4" t="n">
        <v>46181</v>
      </c>
      <c r="B238" s="5" t="n">
        <v>39850057.36</v>
      </c>
      <c r="C238" s="6" t="s">
        <v>235</v>
      </c>
      <c r="D238" s="7" t="n">
        <v>34690</v>
      </c>
      <c r="E238" s="6" t="n">
        <v>2007</v>
      </c>
      <c r="F238" s="5" t="n">
        <f aca="false">IF(OR(D238="",D238=0),"",B238/D238)</f>
        <v>1148.74768982416</v>
      </c>
    </row>
    <row r="239" customFormat="false" ht="15" hidden="false" customHeight="false" outlineLevel="0" collapsed="false">
      <c r="A239" s="4" t="n">
        <v>46182</v>
      </c>
      <c r="B239" s="5" t="n">
        <v>275000000</v>
      </c>
      <c r="C239" s="6" t="s">
        <v>236</v>
      </c>
      <c r="D239" s="7" t="n">
        <v>435677</v>
      </c>
      <c r="E239" s="6" t="n">
        <v>1921</v>
      </c>
      <c r="F239" s="5" t="n">
        <f aca="false">IF(OR(D239="",D239=0),"",B239/D239)</f>
        <v>631.201555280632</v>
      </c>
    </row>
    <row r="240" customFormat="false" ht="15" hidden="false" customHeight="false" outlineLevel="0" collapsed="false">
      <c r="A240" s="4" t="n">
        <v>46182</v>
      </c>
      <c r="B240" s="5" t="n">
        <v>16000000</v>
      </c>
      <c r="C240" s="6" t="s">
        <v>237</v>
      </c>
      <c r="D240" s="7" t="n">
        <v>4935</v>
      </c>
      <c r="E240" s="6" t="n">
        <v>1850</v>
      </c>
      <c r="F240" s="5" t="n">
        <f aca="false">IF(OR(D240="",D240=0),"",B240/D240)</f>
        <v>3242.14792299899</v>
      </c>
    </row>
    <row r="241" customFormat="false" ht="15" hidden="false" customHeight="false" outlineLevel="0" collapsed="false">
      <c r="A241" s="4" t="n">
        <v>46182</v>
      </c>
      <c r="B241" s="5" t="n">
        <v>3600000</v>
      </c>
      <c r="C241" s="6" t="s">
        <v>238</v>
      </c>
      <c r="D241" s="7" t="n">
        <v>11945</v>
      </c>
      <c r="E241" s="6" t="n">
        <v>1975</v>
      </c>
      <c r="F241" s="5" t="n">
        <f aca="false">IF(OR(D241="",D241=0),"",B241/D241)</f>
        <v>301.381331100879</v>
      </c>
    </row>
    <row r="242" customFormat="false" ht="15" hidden="false" customHeight="false" outlineLevel="0" collapsed="false">
      <c r="A242" s="4" t="n">
        <v>46183</v>
      </c>
      <c r="B242" s="5" t="n">
        <v>11763972</v>
      </c>
      <c r="C242" s="6" t="s">
        <v>62</v>
      </c>
      <c r="D242" s="7" t="n">
        <v>121676</v>
      </c>
      <c r="E242" s="6" t="n">
        <v>2024</v>
      </c>
      <c r="F242" s="5" t="n">
        <f aca="false">IF(OR(D242="",D242=0),"",B242/D242)</f>
        <v>96.682764061935</v>
      </c>
    </row>
    <row r="243" customFormat="false" ht="15" hidden="false" customHeight="false" outlineLevel="0" collapsed="false">
      <c r="A243" s="4" t="n">
        <v>46183</v>
      </c>
      <c r="B243" s="5" t="n">
        <v>9700000</v>
      </c>
      <c r="C243" s="6" t="s">
        <v>239</v>
      </c>
      <c r="D243" s="7" t="n">
        <v>23500</v>
      </c>
      <c r="E243" s="6" t="n">
        <v>1950</v>
      </c>
      <c r="F243" s="5" t="n">
        <f aca="false">IF(OR(D243="",D243=0),"",B243/D243)</f>
        <v>412.765957446809</v>
      </c>
    </row>
    <row r="244" customFormat="false" ht="15" hidden="false" customHeight="false" outlineLevel="0" collapsed="false">
      <c r="A244" s="4" t="n">
        <v>46183</v>
      </c>
      <c r="B244" s="5" t="n">
        <v>4350000</v>
      </c>
      <c r="C244" s="6" t="s">
        <v>240</v>
      </c>
      <c r="D244" s="7" t="n">
        <v>8132</v>
      </c>
      <c r="E244" s="6" t="n">
        <v>1928</v>
      </c>
      <c r="F244" s="5" t="n">
        <f aca="false">IF(OR(D244="",D244=0),"",B244/D244)</f>
        <v>534.923757993114</v>
      </c>
    </row>
    <row r="245" customFormat="false" ht="15" hidden="false" customHeight="false" outlineLevel="0" collapsed="false">
      <c r="A245" s="4" t="n">
        <v>46183</v>
      </c>
      <c r="B245" s="5" t="n">
        <v>4300000</v>
      </c>
      <c r="C245" s="6" t="s">
        <v>241</v>
      </c>
      <c r="D245" s="7"/>
      <c r="E245" s="6"/>
      <c r="F245" s="5" t="str">
        <f aca="false">IF(OR(D245="",D245=0),"",B245/D245)</f>
        <v/>
      </c>
    </row>
    <row r="246" customFormat="false" ht="15" hidden="false" customHeight="false" outlineLevel="0" collapsed="false">
      <c r="A246" s="4" t="n">
        <v>46184</v>
      </c>
      <c r="B246" s="5" t="n">
        <v>190000000</v>
      </c>
      <c r="C246" s="6" t="s">
        <v>242</v>
      </c>
      <c r="D246" s="7" t="n">
        <v>220695</v>
      </c>
      <c r="E246" s="6" t="n">
        <v>2019</v>
      </c>
      <c r="F246" s="5" t="n">
        <f aca="false">IF(OR(D246="",D246=0),"",B246/D246)</f>
        <v>860.916649674891</v>
      </c>
    </row>
    <row r="247" customFormat="false" ht="15" hidden="false" customHeight="false" outlineLevel="0" collapsed="false">
      <c r="A247" s="4" t="n">
        <v>46184</v>
      </c>
      <c r="B247" s="5" t="n">
        <v>30500000</v>
      </c>
      <c r="C247" s="6" t="s">
        <v>242</v>
      </c>
      <c r="D247" s="7" t="n">
        <v>220695</v>
      </c>
      <c r="E247" s="6" t="n">
        <v>2019</v>
      </c>
      <c r="F247" s="5" t="n">
        <f aca="false">IF(OR(D247="",D247=0),"",B247/D247)</f>
        <v>138.199777974127</v>
      </c>
    </row>
    <row r="248" customFormat="false" ht="15" hidden="false" customHeight="false" outlineLevel="0" collapsed="false">
      <c r="A248" s="4" t="n">
        <v>46184</v>
      </c>
      <c r="B248" s="5" t="n">
        <v>4300000</v>
      </c>
      <c r="C248" s="6" t="s">
        <v>243</v>
      </c>
      <c r="D248" s="7" t="n">
        <v>22530</v>
      </c>
      <c r="E248" s="6" t="n">
        <v>1925</v>
      </c>
      <c r="F248" s="5" t="n">
        <f aca="false">IF(OR(D248="",D248=0),"",B248/D248)</f>
        <v>190.856635596982</v>
      </c>
    </row>
    <row r="249" customFormat="false" ht="15" hidden="false" customHeight="false" outlineLevel="0" collapsed="false">
      <c r="A249" s="4" t="n">
        <v>46185</v>
      </c>
      <c r="B249" s="5" t="n">
        <v>80000000</v>
      </c>
      <c r="C249" s="6" t="s">
        <v>244</v>
      </c>
      <c r="D249" s="7" t="n">
        <v>75313</v>
      </c>
      <c r="E249" s="6" t="n">
        <v>1928</v>
      </c>
      <c r="F249" s="5" t="n">
        <f aca="false">IF(OR(D249="",D249=0),"",B249/D249)</f>
        <v>1062.23361172706</v>
      </c>
    </row>
    <row r="250" customFormat="false" ht="15" hidden="false" customHeight="false" outlineLevel="0" collapsed="false">
      <c r="A250" s="4" t="n">
        <v>46185</v>
      </c>
      <c r="B250" s="5" t="n">
        <v>64084507</v>
      </c>
      <c r="C250" s="6" t="s">
        <v>245</v>
      </c>
      <c r="D250" s="7" t="n">
        <v>73255</v>
      </c>
      <c r="E250" s="6" t="n">
        <v>1966</v>
      </c>
      <c r="F250" s="5" t="n">
        <f aca="false">IF(OR(D250="",D250=0),"",B250/D250)</f>
        <v>874.814101426524</v>
      </c>
    </row>
    <row r="251" customFormat="false" ht="15" hidden="false" customHeight="false" outlineLevel="0" collapsed="false">
      <c r="A251" s="4" t="n">
        <v>46185</v>
      </c>
      <c r="B251" s="5" t="n">
        <v>41000000</v>
      </c>
      <c r="C251" s="6" t="s">
        <v>246</v>
      </c>
      <c r="D251" s="7" t="n">
        <v>18564</v>
      </c>
      <c r="E251" s="6" t="n">
        <v>1944</v>
      </c>
      <c r="F251" s="5" t="n">
        <f aca="false">IF(OR(D251="",D251=0),"",B251/D251)</f>
        <v>2208.5757379875</v>
      </c>
    </row>
    <row r="252" customFormat="false" ht="15" hidden="false" customHeight="false" outlineLevel="0" collapsed="false">
      <c r="A252" s="4" t="n">
        <v>46185</v>
      </c>
      <c r="B252" s="5" t="n">
        <v>17000000</v>
      </c>
      <c r="C252" s="6" t="s">
        <v>247</v>
      </c>
      <c r="D252" s="7" t="n">
        <v>61398</v>
      </c>
      <c r="E252" s="6" t="n">
        <v>1920</v>
      </c>
      <c r="F252" s="5" t="n">
        <f aca="false">IF(OR(D252="",D252=0),"",B252/D252)</f>
        <v>276.881983126486</v>
      </c>
    </row>
    <row r="253" customFormat="false" ht="15" hidden="false" customHeight="false" outlineLevel="0" collapsed="false">
      <c r="A253" s="4" t="n">
        <v>46185</v>
      </c>
      <c r="B253" s="5" t="n">
        <v>7154000</v>
      </c>
      <c r="C253" s="6" t="s">
        <v>248</v>
      </c>
      <c r="D253" s="7"/>
      <c r="E253" s="6"/>
      <c r="F253" s="5" t="str">
        <f aca="false">IF(OR(D253="",D253=0),"",B253/D253)</f>
        <v/>
      </c>
    </row>
    <row r="254" customFormat="false" ht="15" hidden="false" customHeight="false" outlineLevel="0" collapsed="false">
      <c r="A254" s="4" t="n">
        <v>46190</v>
      </c>
      <c r="B254" s="5" t="n">
        <v>16052000</v>
      </c>
      <c r="C254" s="6" t="s">
        <v>249</v>
      </c>
      <c r="D254" s="7" t="n">
        <v>57840</v>
      </c>
      <c r="E254" s="6" t="n">
        <v>1916</v>
      </c>
      <c r="F254" s="5" t="n">
        <f aca="false">IF(OR(D254="",D254=0),"",B254/D254)</f>
        <v>277.524204702628</v>
      </c>
    </row>
    <row r="255" customFormat="false" ht="15" hidden="false" customHeight="false" outlineLevel="0" collapsed="false">
      <c r="A255" s="4" t="n">
        <v>46190</v>
      </c>
      <c r="B255" s="5" t="n">
        <v>10000000</v>
      </c>
      <c r="C255" s="6" t="s">
        <v>250</v>
      </c>
      <c r="D255" s="7" t="n">
        <v>15555</v>
      </c>
      <c r="E255" s="6" t="n">
        <v>1931</v>
      </c>
      <c r="F255" s="5" t="n">
        <f aca="false">IF(OR(D255="",D255=0),"",B255/D255)</f>
        <v>642.880102860817</v>
      </c>
    </row>
    <row r="256" customFormat="false" ht="15" hidden="false" customHeight="false" outlineLevel="0" collapsed="false">
      <c r="A256" s="4" t="n">
        <v>46191</v>
      </c>
      <c r="B256" s="5" t="n">
        <v>265250000</v>
      </c>
      <c r="C256" s="6" t="s">
        <v>251</v>
      </c>
      <c r="D256" s="7" t="n">
        <v>805467</v>
      </c>
      <c r="E256" s="6" t="n">
        <v>1971</v>
      </c>
      <c r="F256" s="5" t="n">
        <f aca="false">IF(OR(D256="",D256=0),"",B256/D256)</f>
        <v>329.312063684794</v>
      </c>
    </row>
    <row r="257" customFormat="false" ht="15" hidden="false" customHeight="false" outlineLevel="0" collapsed="false">
      <c r="A257" s="4" t="n">
        <v>46191</v>
      </c>
      <c r="B257" s="5" t="n">
        <v>25000000</v>
      </c>
      <c r="C257" s="6" t="s">
        <v>252</v>
      </c>
      <c r="D257" s="7" t="n">
        <v>78349</v>
      </c>
      <c r="E257" s="6" t="n">
        <v>1930</v>
      </c>
      <c r="F257" s="5" t="n">
        <f aca="false">IF(OR(D257="",D257=0),"",B257/D257)</f>
        <v>319.085119146384</v>
      </c>
    </row>
    <row r="258" customFormat="false" ht="15" hidden="false" customHeight="false" outlineLevel="0" collapsed="false">
      <c r="A258" s="4" t="n">
        <v>46191</v>
      </c>
      <c r="B258" s="5" t="n">
        <v>10275000</v>
      </c>
      <c r="C258" s="6" t="s">
        <v>253</v>
      </c>
      <c r="D258" s="7" t="n">
        <v>9200</v>
      </c>
      <c r="E258" s="6" t="n">
        <v>1949</v>
      </c>
      <c r="F258" s="5" t="n">
        <f aca="false">IF(OR(D258="",D258=0),"",B258/D258)</f>
        <v>1116.84782608696</v>
      </c>
    </row>
    <row r="259" customFormat="false" ht="15" hidden="false" customHeight="false" outlineLevel="0" collapsed="false">
      <c r="A259" s="4" t="n">
        <v>46195</v>
      </c>
      <c r="B259" s="5" t="n">
        <v>108000000</v>
      </c>
      <c r="C259" s="6" t="s">
        <v>254</v>
      </c>
      <c r="D259" s="7" t="n">
        <v>235199</v>
      </c>
      <c r="E259" s="6" t="n">
        <v>1916</v>
      </c>
      <c r="F259" s="5" t="n">
        <f aca="false">IF(OR(D259="",D259=0),"",B259/D259)</f>
        <v>459.185625789225</v>
      </c>
    </row>
    <row r="260" customFormat="false" ht="15" hidden="false" customHeight="false" outlineLevel="0" collapsed="false">
      <c r="A260" s="4" t="n">
        <v>46195</v>
      </c>
      <c r="B260" s="5" t="n">
        <v>12950000</v>
      </c>
      <c r="C260" s="6" t="s">
        <v>255</v>
      </c>
      <c r="D260" s="7"/>
      <c r="E260" s="6"/>
      <c r="F260" s="5" t="str">
        <f aca="false">IF(OR(D260="",D260=0),"",B260/D260)</f>
        <v/>
      </c>
    </row>
    <row r="261" customFormat="false" ht="15" hidden="false" customHeight="false" outlineLevel="0" collapsed="false">
      <c r="A261" s="4" t="n">
        <v>46196</v>
      </c>
      <c r="B261" s="5" t="n">
        <v>16800000</v>
      </c>
      <c r="C261" s="6" t="s">
        <v>256</v>
      </c>
      <c r="D261" s="7" t="n">
        <v>48050</v>
      </c>
      <c r="E261" s="6" t="n">
        <v>1924</v>
      </c>
      <c r="F261" s="5" t="n">
        <f aca="false">IF(OR(D261="",D261=0),"",B261/D261)</f>
        <v>349.635796045786</v>
      </c>
    </row>
    <row r="262" customFormat="false" ht="15" hidden="false" customHeight="false" outlineLevel="0" collapsed="false">
      <c r="A262" s="4" t="n">
        <v>46197</v>
      </c>
      <c r="B262" s="5" t="n">
        <v>46116000</v>
      </c>
      <c r="C262" s="6" t="s">
        <v>257</v>
      </c>
      <c r="D262" s="7" t="n">
        <v>39004</v>
      </c>
      <c r="E262" s="6" t="n">
        <v>1905</v>
      </c>
      <c r="F262" s="5" t="n">
        <f aca="false">IF(OR(D262="",D262=0),"",B262/D262)</f>
        <v>1182.34027279253</v>
      </c>
    </row>
    <row r="263" customFormat="false" ht="15" hidden="false" customHeight="false" outlineLevel="0" collapsed="false">
      <c r="A263" s="4" t="n">
        <v>46197</v>
      </c>
      <c r="B263" s="5" t="n">
        <v>18000000</v>
      </c>
      <c r="C263" s="6" t="s">
        <v>258</v>
      </c>
      <c r="D263" s="7" t="n">
        <v>89315</v>
      </c>
      <c r="E263" s="6" t="n">
        <v>1931</v>
      </c>
      <c r="F263" s="5" t="n">
        <f aca="false">IF(OR(D263="",D263=0),"",B263/D263)</f>
        <v>201.533896881823</v>
      </c>
    </row>
    <row r="264" customFormat="false" ht="15" hidden="false" customHeight="false" outlineLevel="0" collapsed="false">
      <c r="A264" s="4" t="n">
        <v>46198</v>
      </c>
      <c r="B264" s="5" t="n">
        <v>38200000</v>
      </c>
      <c r="C264" s="6" t="s">
        <v>259</v>
      </c>
      <c r="D264" s="7" t="n">
        <v>97200</v>
      </c>
      <c r="E264" s="6" t="n">
        <v>1900</v>
      </c>
      <c r="F264" s="5" t="n">
        <f aca="false">IF(OR(D264="",D264=0),"",B264/D264)</f>
        <v>393.004115226337</v>
      </c>
    </row>
    <row r="265" customFormat="false" ht="15" hidden="false" customHeight="false" outlineLevel="0" collapsed="false">
      <c r="A265" s="4" t="n">
        <v>46198</v>
      </c>
      <c r="B265" s="5" t="n">
        <v>4150000</v>
      </c>
      <c r="C265" s="6" t="s">
        <v>260</v>
      </c>
      <c r="D265" s="7" t="n">
        <v>7850</v>
      </c>
      <c r="E265" s="6" t="n">
        <v>2005</v>
      </c>
      <c r="F265" s="5" t="n">
        <f aca="false">IF(OR(D265="",D265=0),"",B265/D265)</f>
        <v>528.662420382166</v>
      </c>
    </row>
    <row r="266" customFormat="false" ht="15" hidden="false" customHeight="false" outlineLevel="0" collapsed="false">
      <c r="A266" s="4" t="n">
        <v>46199</v>
      </c>
      <c r="B266" s="5" t="n">
        <v>15000000</v>
      </c>
      <c r="C266" s="6" t="s">
        <v>261</v>
      </c>
      <c r="D266" s="7" t="n">
        <v>6000</v>
      </c>
      <c r="E266" s="6" t="n">
        <v>1862</v>
      </c>
      <c r="F266" s="5" t="n">
        <f aca="false">IF(OR(D266="",D266=0),"",B266/D266)</f>
        <v>2500</v>
      </c>
    </row>
    <row r="267" customFormat="false" ht="15" hidden="false" customHeight="false" outlineLevel="0" collapsed="false">
      <c r="A267" s="4" t="n">
        <v>46199</v>
      </c>
      <c r="B267" s="5" t="n">
        <v>9300000</v>
      </c>
      <c r="C267" s="6" t="s">
        <v>262</v>
      </c>
      <c r="D267" s="7"/>
      <c r="E267" s="6"/>
      <c r="F267" s="5" t="str">
        <f aca="false">IF(OR(D267="",D267=0),"",B267/D267)</f>
        <v/>
      </c>
    </row>
    <row r="268" customFormat="false" ht="15" hidden="false" customHeight="false" outlineLevel="0" collapsed="false">
      <c r="A268" s="4" t="n">
        <v>46202</v>
      </c>
      <c r="B268" s="5" t="n">
        <v>71000000</v>
      </c>
      <c r="C268" s="6" t="s">
        <v>263</v>
      </c>
      <c r="D268" s="7" t="n">
        <v>114807</v>
      </c>
      <c r="E268" s="6" t="n">
        <v>1911</v>
      </c>
      <c r="F268" s="5" t="n">
        <f aca="false">IF(OR(D268="",D268=0),"",B268/D268)</f>
        <v>618.429189857761</v>
      </c>
    </row>
    <row r="269" customFormat="false" ht="15" hidden="false" customHeight="false" outlineLevel="0" collapsed="false">
      <c r="A269" s="4" t="n">
        <v>46202</v>
      </c>
      <c r="B269" s="5" t="n">
        <v>54000000</v>
      </c>
      <c r="C269" s="6" t="s">
        <v>264</v>
      </c>
      <c r="D269" s="7" t="n">
        <v>96267</v>
      </c>
      <c r="E269" s="6" t="n">
        <v>1920</v>
      </c>
      <c r="F269" s="5" t="n">
        <f aca="false">IF(OR(D269="",D269=0),"",B269/D269)</f>
        <v>560.939885942223</v>
      </c>
    </row>
    <row r="270" customFormat="false" ht="15" hidden="false" customHeight="false" outlineLevel="0" collapsed="false">
      <c r="A270" s="4" t="n">
        <v>46202</v>
      </c>
      <c r="B270" s="5" t="n">
        <v>46000000</v>
      </c>
      <c r="C270" s="6" t="s">
        <v>265</v>
      </c>
      <c r="D270" s="7" t="n">
        <v>8960</v>
      </c>
      <c r="E270" s="6" t="n">
        <v>1910</v>
      </c>
      <c r="F270" s="5" t="n">
        <f aca="false">IF(OR(D270="",D270=0),"",B270/D270)</f>
        <v>5133.92857142857</v>
      </c>
    </row>
    <row r="271" customFormat="false" ht="15" hidden="false" customHeight="false" outlineLevel="0" collapsed="false">
      <c r="A271" s="4" t="n">
        <v>46202</v>
      </c>
      <c r="B271" s="5" t="n">
        <v>44084242.47</v>
      </c>
      <c r="C271" s="6" t="s">
        <v>266</v>
      </c>
      <c r="D271" s="7" t="n">
        <v>233269</v>
      </c>
      <c r="E271" s="6" t="n">
        <v>1987</v>
      </c>
      <c r="F271" s="5" t="n">
        <f aca="false">IF(OR(D271="",D271=0),"",B271/D271)</f>
        <v>188.984573475258</v>
      </c>
    </row>
    <row r="272" customFormat="false" ht="15" hidden="false" customHeight="false" outlineLevel="0" collapsed="false">
      <c r="A272" s="4" t="n">
        <v>46202</v>
      </c>
      <c r="B272" s="5" t="n">
        <v>42000000</v>
      </c>
      <c r="C272" s="6" t="s">
        <v>267</v>
      </c>
      <c r="D272" s="7" t="n">
        <v>150110</v>
      </c>
      <c r="E272" s="6" t="n">
        <v>1925</v>
      </c>
      <c r="F272" s="5" t="n">
        <f aca="false">IF(OR(D272="",D272=0),"",B272/D272)</f>
        <v>279.794817134102</v>
      </c>
    </row>
    <row r="273" customFormat="false" ht="15" hidden="false" customHeight="false" outlineLevel="0" collapsed="false">
      <c r="A273" s="4" t="n">
        <v>46202</v>
      </c>
      <c r="B273" s="5" t="n">
        <v>36000000</v>
      </c>
      <c r="C273" s="6" t="s">
        <v>227</v>
      </c>
      <c r="D273" s="7" t="n">
        <v>58390</v>
      </c>
      <c r="E273" s="6" t="n">
        <v>2021</v>
      </c>
      <c r="F273" s="5" t="n">
        <f aca="false">IF(OR(D273="",D273=0),"",B273/D273)</f>
        <v>616.543928754924</v>
      </c>
    </row>
    <row r="274" customFormat="false" ht="15" hidden="false" customHeight="false" outlineLevel="0" collapsed="false">
      <c r="A274" s="4" t="n">
        <v>46202</v>
      </c>
      <c r="B274" s="5" t="n">
        <v>31000000</v>
      </c>
      <c r="C274" s="6" t="s">
        <v>268</v>
      </c>
      <c r="D274" s="7" t="n">
        <v>68808</v>
      </c>
      <c r="E274" s="6" t="n">
        <v>1908</v>
      </c>
      <c r="F274" s="5" t="n">
        <f aca="false">IF(OR(D274="",D274=0),"",B274/D274)</f>
        <v>450.529008254854</v>
      </c>
    </row>
    <row r="275" customFormat="false" ht="15" hidden="false" customHeight="false" outlineLevel="0" collapsed="false">
      <c r="A275" s="4" t="n">
        <v>46202</v>
      </c>
      <c r="B275" s="5" t="n">
        <v>10350000</v>
      </c>
      <c r="C275" s="6" t="s">
        <v>269</v>
      </c>
      <c r="D275" s="7" t="n">
        <v>50000</v>
      </c>
      <c r="E275" s="6" t="n">
        <v>1961</v>
      </c>
      <c r="F275" s="5" t="n">
        <f aca="false">IF(OR(D275="",D275=0),"",B275/D275)</f>
        <v>207</v>
      </c>
    </row>
    <row r="276" customFormat="false" ht="15" hidden="false" customHeight="false" outlineLevel="0" collapsed="false">
      <c r="A276" s="4" t="n">
        <v>46203</v>
      </c>
      <c r="B276" s="5" t="n">
        <v>45800000</v>
      </c>
      <c r="C276" s="6" t="s">
        <v>270</v>
      </c>
      <c r="D276" s="7" t="n">
        <v>80531</v>
      </c>
      <c r="E276" s="6" t="n">
        <v>2009</v>
      </c>
      <c r="F276" s="5" t="n">
        <f aca="false">IF(OR(D276="",D276=0),"",B276/D276)</f>
        <v>568.725087233488</v>
      </c>
    </row>
    <row r="277" customFormat="false" ht="15" hidden="false" customHeight="false" outlineLevel="0" collapsed="false">
      <c r="A277" s="4" t="n">
        <v>46203</v>
      </c>
      <c r="B277" s="5" t="n">
        <v>43000000</v>
      </c>
      <c r="C277" s="6" t="s">
        <v>271</v>
      </c>
      <c r="D277" s="7" t="n">
        <v>64900</v>
      </c>
      <c r="E277" s="6" t="n">
        <v>2008</v>
      </c>
      <c r="F277" s="5" t="n">
        <f aca="false">IF(OR(D277="",D277=0),"",B277/D277)</f>
        <v>662.557781201849</v>
      </c>
    </row>
    <row r="278" customFormat="false" ht="15" hidden="false" customHeight="false" outlineLevel="0" collapsed="false">
      <c r="A278" s="4" t="n">
        <v>46203</v>
      </c>
      <c r="B278" s="5" t="n">
        <v>39000000</v>
      </c>
      <c r="C278" s="6" t="s">
        <v>272</v>
      </c>
      <c r="D278" s="7" t="n">
        <v>74573</v>
      </c>
      <c r="E278" s="6" t="n">
        <v>2015</v>
      </c>
      <c r="F278" s="5" t="n">
        <f aca="false">IF(OR(D278="",D278=0),"",B278/D278)</f>
        <v>522.97748514878</v>
      </c>
    </row>
    <row r="279" customFormat="false" ht="15" hidden="false" customHeight="false" outlineLevel="0" collapsed="false">
      <c r="A279" s="4" t="n">
        <v>46203</v>
      </c>
      <c r="B279" s="5" t="n">
        <v>15000000</v>
      </c>
      <c r="C279" s="6" t="s">
        <v>273</v>
      </c>
      <c r="D279" s="7" t="n">
        <v>2344</v>
      </c>
      <c r="E279" s="6" t="n">
        <v>1997</v>
      </c>
      <c r="F279" s="5" t="n">
        <f aca="false">IF(OR(D279="",D279=0),"",B279/D279)</f>
        <v>6399.31740614335</v>
      </c>
    </row>
    <row r="280" customFormat="false" ht="15" hidden="false" customHeight="false" outlineLevel="0" collapsed="false">
      <c r="A280" s="4" t="n">
        <v>46203</v>
      </c>
      <c r="B280" s="5" t="n">
        <v>9600000</v>
      </c>
      <c r="C280" s="6" t="s">
        <v>274</v>
      </c>
      <c r="D280" s="7" t="n">
        <v>21500</v>
      </c>
      <c r="E280" s="6" t="n">
        <v>1930</v>
      </c>
      <c r="F280" s="5" t="n">
        <f aca="false">IF(OR(D280="",D280=0),"",B280/D280)</f>
        <v>446.511627906977</v>
      </c>
    </row>
    <row r="281" customFormat="false" ht="15" hidden="false" customHeight="false" outlineLevel="0" collapsed="false">
      <c r="A281" s="4" t="n">
        <v>46203</v>
      </c>
      <c r="B281" s="5" t="n">
        <v>5450000</v>
      </c>
      <c r="C281" s="6" t="s">
        <v>275</v>
      </c>
      <c r="D281" s="7" t="n">
        <v>22680</v>
      </c>
      <c r="E281" s="6" t="n">
        <v>1932</v>
      </c>
      <c r="F281" s="5" t="n">
        <f aca="false">IF(OR(D281="",D281=0),"",B281/D281)</f>
        <v>240.299823633157</v>
      </c>
    </row>
    <row r="282" customFormat="false" ht="15" hidden="false" customHeight="false" outlineLevel="0" collapsed="false">
      <c r="A282" s="4" t="n">
        <v>46205</v>
      </c>
      <c r="B282" s="5" t="n">
        <v>20000000</v>
      </c>
      <c r="C282" s="6" t="s">
        <v>276</v>
      </c>
      <c r="D282" s="7" t="n">
        <v>104661</v>
      </c>
      <c r="E282" s="6" t="n">
        <v>1907</v>
      </c>
      <c r="F282" s="5" t="n">
        <f aca="false">IF(OR(D282="",D282=0),"",B282/D282)</f>
        <v>191.093148355166</v>
      </c>
    </row>
    <row r="283" customFormat="false" ht="15" hidden="false" customHeight="false" outlineLevel="0" collapsed="false">
      <c r="A283" s="4" t="n">
        <v>46205</v>
      </c>
      <c r="B283" s="5" t="n">
        <v>15500000</v>
      </c>
      <c r="C283" s="6" t="s">
        <v>277</v>
      </c>
      <c r="D283" s="7" t="n">
        <v>15800</v>
      </c>
      <c r="E283" s="6" t="n">
        <v>1953</v>
      </c>
      <c r="F283" s="5" t="n">
        <f aca="false">IF(OR(D283="",D283=0),"",B283/D283)</f>
        <v>981.012658227848</v>
      </c>
    </row>
    <row r="284" customFormat="false" ht="15" hidden="false" customHeight="false" outlineLevel="0" collapsed="false">
      <c r="A284" s="4" t="n">
        <v>46205</v>
      </c>
      <c r="B284" s="5" t="n">
        <v>14532585</v>
      </c>
      <c r="C284" s="6" t="s">
        <v>278</v>
      </c>
      <c r="D284" s="7"/>
      <c r="E284" s="6"/>
      <c r="F284" s="5" t="str">
        <f aca="false">IF(OR(D284="",D284=0),"",B284/D284)</f>
        <v/>
      </c>
    </row>
    <row r="285" customFormat="false" ht="15" hidden="false" customHeight="false" outlineLevel="0" collapsed="false">
      <c r="A285" s="4" t="n">
        <v>46209</v>
      </c>
      <c r="B285" s="5" t="n">
        <v>24500000</v>
      </c>
      <c r="C285" s="6" t="s">
        <v>279</v>
      </c>
      <c r="D285" s="7" t="n">
        <v>6625</v>
      </c>
      <c r="E285" s="6" t="n">
        <v>1856</v>
      </c>
      <c r="F285" s="5" t="n">
        <f aca="false">IF(OR(D285="",D285=0),"",B285/D285)</f>
        <v>3698.11320754717</v>
      </c>
    </row>
    <row r="286" customFormat="false" ht="15" hidden="false" customHeight="false" outlineLevel="0" collapsed="false">
      <c r="A286" s="4" t="n">
        <v>46210</v>
      </c>
      <c r="B286" s="5" t="n">
        <v>18800000</v>
      </c>
      <c r="C286" s="6" t="s">
        <v>280</v>
      </c>
      <c r="D286" s="7" t="n">
        <v>43247</v>
      </c>
      <c r="E286" s="6" t="n">
        <v>1931</v>
      </c>
      <c r="F286" s="5" t="n">
        <f aca="false">IF(OR(D286="",D286=0),"",B286/D286)</f>
        <v>434.712234374639</v>
      </c>
    </row>
    <row r="287" customFormat="false" ht="15" hidden="false" customHeight="false" outlineLevel="0" collapsed="false">
      <c r="A287" s="4" t="n">
        <v>46210</v>
      </c>
      <c r="B287" s="5" t="n">
        <v>5609229</v>
      </c>
      <c r="C287" s="6" t="s">
        <v>281</v>
      </c>
      <c r="D287" s="7"/>
      <c r="E287" s="6"/>
      <c r="F287" s="5" t="str">
        <f aca="false">IF(OR(D287="",D287=0),"",B287/D287)</f>
        <v/>
      </c>
    </row>
    <row r="288" customFormat="false" ht="15" hidden="false" customHeight="false" outlineLevel="0" collapsed="false">
      <c r="A288" s="4" t="n">
        <v>46211</v>
      </c>
      <c r="B288" s="5" t="n">
        <v>8100874</v>
      </c>
      <c r="C288" s="6" t="s">
        <v>282</v>
      </c>
      <c r="D288" s="7" t="n">
        <v>147400</v>
      </c>
      <c r="E288" s="6" t="n">
        <v>1923</v>
      </c>
      <c r="F288" s="5" t="n">
        <f aca="false">IF(OR(D288="",D288=0),"",B288/D288)</f>
        <v>54.9584396200814</v>
      </c>
    </row>
    <row r="289" customFormat="false" ht="15" hidden="false" customHeight="false" outlineLevel="0" collapsed="false">
      <c r="A289" s="4" t="n">
        <v>46211</v>
      </c>
      <c r="B289" s="5" t="n">
        <v>6500000</v>
      </c>
      <c r="C289" s="6" t="s">
        <v>283</v>
      </c>
      <c r="D289" s="7" t="n">
        <v>38054</v>
      </c>
      <c r="E289" s="6" t="n">
        <v>2023</v>
      </c>
      <c r="F289" s="5" t="n">
        <f aca="false">IF(OR(D289="",D289=0),"",B289/D289)</f>
        <v>170.80990171861</v>
      </c>
    </row>
    <row r="290" customFormat="false" ht="15" hidden="false" customHeight="false" outlineLevel="0" collapsed="false">
      <c r="A290" s="4" t="n">
        <v>46212</v>
      </c>
      <c r="B290" s="5" t="n">
        <v>25750000</v>
      </c>
      <c r="C290" s="6" t="s">
        <v>284</v>
      </c>
      <c r="D290" s="7" t="n">
        <v>26480</v>
      </c>
      <c r="E290" s="6" t="n">
        <v>1900</v>
      </c>
      <c r="F290" s="5" t="n">
        <f aca="false">IF(OR(D290="",D290=0),"",B290/D290)</f>
        <v>972.432024169184</v>
      </c>
    </row>
    <row r="291" customFormat="false" ht="15" hidden="false" customHeight="false" outlineLevel="0" collapsed="false">
      <c r="A291" s="4" t="n">
        <v>46213</v>
      </c>
      <c r="B291" s="5" t="n">
        <v>104500000</v>
      </c>
      <c r="C291" s="6" t="s">
        <v>285</v>
      </c>
      <c r="D291" s="7" t="n">
        <v>321994</v>
      </c>
      <c r="E291" s="6" t="n">
        <v>1962</v>
      </c>
      <c r="F291" s="5" t="n">
        <f aca="false">IF(OR(D291="",D291=0),"",B291/D291)</f>
        <v>324.540208823767</v>
      </c>
    </row>
    <row r="292" customFormat="false" ht="15" hidden="false" customHeight="false" outlineLevel="0" collapsed="false">
      <c r="A292" s="4" t="n">
        <v>46213</v>
      </c>
      <c r="B292" s="5" t="n">
        <v>45000000</v>
      </c>
      <c r="C292" s="6" t="s">
        <v>286</v>
      </c>
      <c r="D292" s="7" t="n">
        <v>13767</v>
      </c>
      <c r="E292" s="6" t="n">
        <v>1910</v>
      </c>
      <c r="F292" s="5" t="n">
        <f aca="false">IF(OR(D292="",D292=0),"",B292/D292)</f>
        <v>3268.68598823273</v>
      </c>
    </row>
    <row r="293" customFormat="false" ht="15" hidden="false" customHeight="false" outlineLevel="0" collapsed="false">
      <c r="A293" s="4" t="n">
        <v>46213</v>
      </c>
      <c r="B293" s="5" t="n">
        <v>17000000</v>
      </c>
      <c r="C293" s="6" t="s">
        <v>287</v>
      </c>
      <c r="D293" s="7"/>
      <c r="E293" s="6"/>
      <c r="F293" s="5" t="str">
        <f aca="false">IF(OR(D293="",D293=0),"",B293/D293)</f>
        <v/>
      </c>
    </row>
    <row r="294" customFormat="false" ht="15" hidden="false" customHeight="false" outlineLevel="0" collapsed="false">
      <c r="A294" s="4" t="n">
        <v>46213</v>
      </c>
      <c r="B294" s="5" t="n">
        <v>5930000</v>
      </c>
      <c r="C294" s="6" t="s">
        <v>288</v>
      </c>
      <c r="D294" s="7" t="n">
        <v>9700</v>
      </c>
      <c r="E294" s="6" t="n">
        <v>1930</v>
      </c>
      <c r="F294" s="5" t="n">
        <f aca="false">IF(OR(D294="",D294=0),"",B294/D294)</f>
        <v>611.340206185567</v>
      </c>
    </row>
    <row r="295" customFormat="false" ht="15" hidden="false" customHeight="false" outlineLevel="0" collapsed="false">
      <c r="A295" s="4" t="n">
        <v>46213</v>
      </c>
      <c r="B295" s="5" t="n">
        <v>4209880.58</v>
      </c>
      <c r="C295" s="6" t="s">
        <v>289</v>
      </c>
      <c r="D295" s="7" t="n">
        <v>43200</v>
      </c>
      <c r="E295" s="6" t="n">
        <v>1927</v>
      </c>
      <c r="F295" s="5" t="n">
        <f aca="false">IF(OR(D295="",D295=0),"",B295/D295)</f>
        <v>97.4509393518519</v>
      </c>
    </row>
    <row r="296" customFormat="false" ht="15" hidden="false" customHeight="false" outlineLevel="0" collapsed="false">
      <c r="A296" s="4" t="n">
        <v>46216</v>
      </c>
      <c r="B296" s="5" t="n">
        <v>29523700</v>
      </c>
      <c r="C296" s="6" t="s">
        <v>290</v>
      </c>
      <c r="D296" s="7" t="n">
        <v>31285</v>
      </c>
      <c r="E296" s="6" t="n">
        <v>2023</v>
      </c>
      <c r="F296" s="5" t="n">
        <f aca="false">IF(OR(D296="",D296=0),"",B296/D296)</f>
        <v>943.701454371104</v>
      </c>
    </row>
    <row r="297" customFormat="false" ht="15" hidden="false" customHeight="false" outlineLevel="0" collapsed="false">
      <c r="A297" s="4" t="n">
        <v>46216</v>
      </c>
      <c r="B297" s="5" t="n">
        <v>13600000</v>
      </c>
      <c r="C297" s="6" t="s">
        <v>291</v>
      </c>
      <c r="D297" s="7" t="n">
        <v>7500</v>
      </c>
      <c r="E297" s="6" t="n">
        <v>1931</v>
      </c>
      <c r="F297" s="5" t="n">
        <f aca="false">IF(OR(D297="",D297=0),"",B297/D297)</f>
        <v>1813.33333333333</v>
      </c>
    </row>
    <row r="298" customFormat="false" ht="15" hidden="false" customHeight="false" outlineLevel="0" collapsed="false">
      <c r="A298" s="4" t="n">
        <v>46216</v>
      </c>
      <c r="B298" s="5" t="n">
        <v>5500000</v>
      </c>
      <c r="C298" s="6" t="s">
        <v>292</v>
      </c>
      <c r="D298" s="7" t="n">
        <v>39655</v>
      </c>
      <c r="E298" s="6" t="n">
        <v>1923</v>
      </c>
      <c r="F298" s="5" t="n">
        <f aca="false">IF(OR(D298="",D298=0),"",B298/D298)</f>
        <v>138.69625520111</v>
      </c>
    </row>
    <row r="299" customFormat="false" ht="15" hidden="false" customHeight="false" outlineLevel="0" collapsed="false">
      <c r="A299" s="4" t="n">
        <v>46217</v>
      </c>
      <c r="B299" s="5" t="n">
        <v>100000000</v>
      </c>
      <c r="C299" s="6" t="s">
        <v>293</v>
      </c>
      <c r="D299" s="7" t="n">
        <v>29300</v>
      </c>
      <c r="E299" s="6" t="n">
        <v>1849</v>
      </c>
      <c r="F299" s="5" t="n">
        <f aca="false">IF(OR(D299="",D299=0),"",B299/D299)</f>
        <v>3412.96928327645</v>
      </c>
    </row>
    <row r="300" customFormat="false" ht="15" hidden="false" customHeight="false" outlineLevel="0" collapsed="false">
      <c r="A300" s="4" t="n">
        <v>46217</v>
      </c>
      <c r="B300" s="5" t="n">
        <v>81500000</v>
      </c>
      <c r="C300" s="6" t="s">
        <v>294</v>
      </c>
      <c r="D300" s="7" t="n">
        <v>33600</v>
      </c>
      <c r="E300" s="6" t="n">
        <v>1894</v>
      </c>
      <c r="F300" s="5" t="n">
        <f aca="false">IF(OR(D300="",D300=0),"",B300/D300)</f>
        <v>2425.59523809524</v>
      </c>
    </row>
    <row r="301" customFormat="false" ht="15" hidden="false" customHeight="false" outlineLevel="0" collapsed="false">
      <c r="A301" s="4" t="n">
        <v>46217</v>
      </c>
      <c r="B301" s="5" t="n">
        <v>9250000</v>
      </c>
      <c r="C301" s="6" t="s">
        <v>295</v>
      </c>
      <c r="D301" s="7" t="n">
        <v>32340</v>
      </c>
      <c r="E301" s="6" t="n">
        <v>1929</v>
      </c>
      <c r="F301" s="5" t="n">
        <f aca="false">IF(OR(D301="",D301=0),"",B301/D301)</f>
        <v>286.023500309215</v>
      </c>
    </row>
    <row r="302" customFormat="false" ht="15" hidden="false" customHeight="false" outlineLevel="0" collapsed="false">
      <c r="A302" s="4" t="n">
        <v>46219</v>
      </c>
      <c r="B302" s="5" t="n">
        <v>33458640</v>
      </c>
      <c r="C302" s="6" t="s">
        <v>296</v>
      </c>
      <c r="D302" s="7" t="n">
        <v>48500</v>
      </c>
      <c r="E302" s="6" t="n">
        <v>1958</v>
      </c>
      <c r="F302" s="5" t="n">
        <f aca="false">IF(OR(D302="",D302=0),"",B302/D302)</f>
        <v>689.868865979381</v>
      </c>
    </row>
    <row r="303" customFormat="false" ht="15" hidden="false" customHeight="false" outlineLevel="0" collapsed="false">
      <c r="A303" s="4" t="n">
        <v>46219</v>
      </c>
      <c r="B303" s="5" t="n">
        <v>6800000</v>
      </c>
      <c r="C303" s="6" t="s">
        <v>297</v>
      </c>
      <c r="D303" s="7" t="n">
        <v>30088</v>
      </c>
      <c r="E303" s="6" t="n">
        <v>2017</v>
      </c>
      <c r="F303" s="5" t="n">
        <f aca="false">IF(OR(D303="",D303=0),"",B303/D303)</f>
        <v>226.003722414252</v>
      </c>
    </row>
    <row r="304" customFormat="false" ht="15" hidden="false" customHeight="false" outlineLevel="0" collapsed="false">
      <c r="A304" s="4" t="n">
        <v>46220</v>
      </c>
      <c r="B304" s="5" t="n">
        <v>38500000</v>
      </c>
      <c r="C304" s="6" t="s">
        <v>298</v>
      </c>
      <c r="D304" s="7" t="n">
        <v>70478</v>
      </c>
      <c r="E304" s="6" t="n">
        <v>1929</v>
      </c>
      <c r="F304" s="5" t="n">
        <f aca="false">IF(OR(D304="",D304=0),"",B304/D304)</f>
        <v>546.269757938648</v>
      </c>
    </row>
    <row r="305" customFormat="false" ht="15" hidden="false" customHeight="false" outlineLevel="0" collapsed="false">
      <c r="A305" s="4" t="n">
        <v>46220</v>
      </c>
      <c r="B305" s="5" t="n">
        <v>25550000</v>
      </c>
      <c r="C305" s="6" t="s">
        <v>299</v>
      </c>
      <c r="D305" s="7" t="n">
        <v>17200</v>
      </c>
      <c r="E305" s="6" t="n">
        <v>1931</v>
      </c>
      <c r="F305" s="5" t="n">
        <f aca="false">IF(OR(D305="",D305=0),"",B305/D305)</f>
        <v>1485.46511627907</v>
      </c>
    </row>
    <row r="306" customFormat="false" ht="15" hidden="false" customHeight="false" outlineLevel="0" collapsed="false">
      <c r="A306" s="4" t="n">
        <v>46223</v>
      </c>
      <c r="B306" s="5" t="n">
        <v>109000000</v>
      </c>
      <c r="C306" s="6" t="s">
        <v>300</v>
      </c>
      <c r="D306" s="7" t="n">
        <v>197395</v>
      </c>
      <c r="E306" s="6" t="n">
        <v>2016</v>
      </c>
      <c r="F306" s="5" t="n">
        <f aca="false">IF(OR(D306="",D306=0),"",B306/D306)</f>
        <v>552.192304769624</v>
      </c>
    </row>
    <row r="307" customFormat="false" ht="15" hidden="false" customHeight="false" outlineLevel="0" collapsed="false">
      <c r="A307" s="4" t="n">
        <v>46223</v>
      </c>
      <c r="B307" s="5" t="n">
        <v>35000000</v>
      </c>
      <c r="C307" s="6" t="s">
        <v>301</v>
      </c>
      <c r="D307" s="7" t="n">
        <v>533883</v>
      </c>
      <c r="E307" s="6" t="n">
        <v>2013</v>
      </c>
      <c r="F307" s="5" t="n">
        <f aca="false">IF(OR(D307="",D307=0),"",B307/D307)</f>
        <v>65.5574348686885</v>
      </c>
    </row>
    <row r="308" customFormat="false" ht="15" hidden="false" customHeight="false" outlineLevel="0" collapsed="false">
      <c r="A308" s="4" t="n">
        <v>46223</v>
      </c>
      <c r="B308" s="5" t="n">
        <v>6250000</v>
      </c>
      <c r="C308" s="6" t="s">
        <v>302</v>
      </c>
      <c r="D308" s="7" t="n">
        <v>18692</v>
      </c>
      <c r="E308" s="6" t="n">
        <v>1999</v>
      </c>
      <c r="F308" s="5" t="n">
        <f aca="false">IF(OR(D308="",D308=0),"",B308/D308)</f>
        <v>334.367643911834</v>
      </c>
    </row>
    <row r="309" customFormat="false" ht="15" hidden="false" customHeight="false" outlineLevel="0" collapsed="false">
      <c r="A309" s="4" t="n">
        <v>46224</v>
      </c>
      <c r="B309" s="5" t="n">
        <v>16450189.3</v>
      </c>
      <c r="C309" s="6" t="s">
        <v>303</v>
      </c>
      <c r="D309" s="7" t="n">
        <v>7227</v>
      </c>
      <c r="E309" s="6"/>
      <c r="F309" s="5" t="n">
        <f aca="false">IF(OR(D309="",D309=0),"",B309/D309)</f>
        <v>2276.21271620313</v>
      </c>
    </row>
    <row r="310" customFormat="false" ht="15" hidden="false" customHeight="false" outlineLevel="0" collapsed="false">
      <c r="A310" s="4" t="n">
        <v>46224</v>
      </c>
      <c r="B310" s="5" t="n">
        <v>6500000</v>
      </c>
      <c r="C310" s="6" t="s">
        <v>304</v>
      </c>
      <c r="D310" s="7" t="n">
        <v>59778</v>
      </c>
      <c r="E310" s="6" t="n">
        <v>1951</v>
      </c>
      <c r="F310" s="5" t="n">
        <f aca="false">IF(OR(D310="",D310=0),"",B310/D310)</f>
        <v>108.735655257787</v>
      </c>
    </row>
    <row r="311" customFormat="false" ht="15" hidden="false" customHeight="false" outlineLevel="0" collapsed="false">
      <c r="A311" s="4" t="n">
        <v>46224</v>
      </c>
      <c r="B311" s="5" t="n">
        <v>3300000</v>
      </c>
      <c r="C311" s="6" t="s">
        <v>305</v>
      </c>
      <c r="D311" s="7" t="n">
        <v>15000</v>
      </c>
      <c r="E311" s="6" t="n">
        <v>1920</v>
      </c>
      <c r="F311" s="5" t="n">
        <f aca="false">IF(OR(D311="",D311=0),"",B311/D311)</f>
        <v>220</v>
      </c>
    </row>
    <row r="312" customFormat="false" ht="15" hidden="false" customHeight="false" outlineLevel="0" collapsed="false">
      <c r="A312" s="4" t="n">
        <v>46225</v>
      </c>
      <c r="B312" s="5" t="n">
        <v>31000000</v>
      </c>
      <c r="C312" s="6" t="s">
        <v>306</v>
      </c>
      <c r="D312" s="7" t="n">
        <v>229926</v>
      </c>
      <c r="E312" s="6" t="n">
        <v>2006</v>
      </c>
      <c r="F312" s="5" t="n">
        <f aca="false">IF(OR(D312="",D312=0),"",B312/D312)</f>
        <v>134.825987491628</v>
      </c>
    </row>
    <row r="313" customFormat="false" ht="15" hidden="false" customHeight="false" outlineLevel="0" collapsed="false">
      <c r="A313" s="4" t="n">
        <v>46230</v>
      </c>
      <c r="B313" s="5" t="n">
        <v>26000000</v>
      </c>
      <c r="C313" s="6" t="s">
        <v>307</v>
      </c>
      <c r="D313" s="7" t="n">
        <v>37443</v>
      </c>
      <c r="E313" s="6" t="n">
        <v>1929</v>
      </c>
      <c r="F313" s="5" t="n">
        <f aca="false">IF(OR(D313="",D313=0),"",B313/D313)</f>
        <v>694.388804315894</v>
      </c>
    </row>
    <row r="314" customFormat="false" ht="15" hidden="false" customHeight="false" outlineLevel="0" collapsed="false">
      <c r="A314" s="4" t="n">
        <v>46231</v>
      </c>
      <c r="B314" s="5" t="n">
        <v>188000000</v>
      </c>
      <c r="C314" s="6" t="s">
        <v>308</v>
      </c>
      <c r="D314" s="7" t="n">
        <v>474496</v>
      </c>
      <c r="E314" s="6" t="n">
        <v>1989</v>
      </c>
      <c r="F314" s="5" t="n">
        <f aca="false">IF(OR(D314="",D314=0),"",B314/D314)</f>
        <v>396.209873212841</v>
      </c>
    </row>
    <row r="315" customFormat="false" ht="15" hidden="false" customHeight="false" outlineLevel="0" collapsed="false">
      <c r="A315" s="4" t="n">
        <v>46231</v>
      </c>
      <c r="B315" s="5" t="n">
        <v>46958750</v>
      </c>
      <c r="C315" s="6" t="s">
        <v>309</v>
      </c>
      <c r="D315" s="7" t="n">
        <v>878615</v>
      </c>
      <c r="E315" s="6" t="n">
        <v>2013</v>
      </c>
      <c r="F315" s="5" t="n">
        <f aca="false">IF(OR(D315="",D315=0),"",B315/D315)</f>
        <v>53.4463331493316</v>
      </c>
    </row>
    <row r="316" customFormat="false" ht="15" hidden="false" customHeight="false" outlineLevel="0" collapsed="false">
      <c r="A316" s="4" t="n">
        <v>46231</v>
      </c>
      <c r="B316" s="5" t="n">
        <v>9700000</v>
      </c>
      <c r="C316" s="6" t="s">
        <v>310</v>
      </c>
      <c r="D316" s="7" t="n">
        <v>50400</v>
      </c>
      <c r="E316" s="6" t="n">
        <v>1939</v>
      </c>
      <c r="F316" s="5" t="n">
        <f aca="false">IF(OR(D316="",D316=0),"",B316/D316)</f>
        <v>192.460317460317</v>
      </c>
    </row>
    <row r="317" customFormat="false" ht="15" hidden="false" customHeight="false" outlineLevel="0" collapsed="false">
      <c r="A317" s="4" t="n">
        <v>46231</v>
      </c>
      <c r="B317" s="5" t="n">
        <v>8000000</v>
      </c>
      <c r="C317" s="6" t="s">
        <v>311</v>
      </c>
      <c r="D317" s="7" t="n">
        <v>16426</v>
      </c>
      <c r="E317" s="6" t="n">
        <v>1943</v>
      </c>
      <c r="F317" s="5" t="n">
        <f aca="false">IF(OR(D317="",D317=0),"",B317/D317)</f>
        <v>487.032752952636</v>
      </c>
    </row>
    <row r="318" customFormat="false" ht="15" hidden="false" customHeight="false" outlineLevel="0" collapsed="false">
      <c r="A318" s="4" t="n">
        <v>46231</v>
      </c>
      <c r="B318" s="5" t="n">
        <v>7200000</v>
      </c>
      <c r="C318" s="6" t="s">
        <v>312</v>
      </c>
      <c r="D318" s="7" t="n">
        <v>50000</v>
      </c>
      <c r="E318" s="6" t="n">
        <v>1929</v>
      </c>
      <c r="F318" s="5" t="n">
        <f aca="false">IF(OR(D318="",D318=0),"",B318/D318)</f>
        <v>144</v>
      </c>
    </row>
    <row r="319" customFormat="false" ht="15" hidden="false" customHeight="false" outlineLevel="0" collapsed="false">
      <c r="A319" s="4" t="n">
        <v>46232</v>
      </c>
      <c r="B319" s="5" t="n">
        <v>122000000</v>
      </c>
      <c r="C319" s="6" t="s">
        <v>313</v>
      </c>
      <c r="D319" s="7" t="n">
        <v>78397</v>
      </c>
      <c r="E319" s="6" t="n">
        <v>1931</v>
      </c>
      <c r="F319" s="5" t="n">
        <f aca="false">IF(OR(D319="",D319=0),"",B319/D319)</f>
        <v>1556.18199676008</v>
      </c>
    </row>
    <row r="320" customFormat="false" ht="15" hidden="false" customHeight="false" outlineLevel="0" collapsed="false">
      <c r="A320" s="4" t="n">
        <v>46232</v>
      </c>
      <c r="B320" s="5" t="n">
        <v>10500000</v>
      </c>
      <c r="C320" s="6" t="s">
        <v>314</v>
      </c>
      <c r="D320" s="7" t="n">
        <v>23757</v>
      </c>
      <c r="E320" s="6" t="n">
        <v>2021</v>
      </c>
      <c r="F320" s="5" t="n">
        <f aca="false">IF(OR(D320="",D320=0),"",B320/D320)</f>
        <v>441.974996843036</v>
      </c>
    </row>
    <row r="321" customFormat="false" ht="15" hidden="false" customHeight="false" outlineLevel="0" collapsed="false">
      <c r="A321" s="4" t="n">
        <v>46234</v>
      </c>
      <c r="B321" s="5" t="n">
        <v>89900000</v>
      </c>
      <c r="C321" s="6" t="s">
        <v>315</v>
      </c>
      <c r="D321" s="7" t="n">
        <v>116523</v>
      </c>
      <c r="E321" s="6" t="n">
        <v>2015</v>
      </c>
      <c r="F321" s="5" t="n">
        <f aca="false">IF(OR(D321="",D321=0),"",B321/D321)</f>
        <v>771.5215021927</v>
      </c>
    </row>
    <row r="322" customFormat="false" ht="15" hidden="false" customHeight="false" outlineLevel="0" collapsed="false">
      <c r="A322" s="4" t="n">
        <v>46234</v>
      </c>
      <c r="B322" s="5" t="n">
        <v>56000000</v>
      </c>
      <c r="C322" s="6" t="s">
        <v>316</v>
      </c>
      <c r="D322" s="7" t="n">
        <v>148639</v>
      </c>
      <c r="E322" s="6" t="n">
        <v>1955</v>
      </c>
      <c r="F322" s="5" t="n">
        <f aca="false">IF(OR(D322="",D322=0),"",B322/D322)</f>
        <v>376.751727339393</v>
      </c>
    </row>
    <row r="323" customFormat="false" ht="15" hidden="false" customHeight="false" outlineLevel="0" collapsed="false">
      <c r="A323" s="4" t="n">
        <v>46234</v>
      </c>
      <c r="B323" s="5" t="n">
        <v>40600000</v>
      </c>
      <c r="C323" s="6" t="s">
        <v>317</v>
      </c>
      <c r="D323" s="7" t="n">
        <v>130404</v>
      </c>
      <c r="E323" s="6" t="n">
        <v>1965</v>
      </c>
      <c r="F323" s="5" t="n">
        <f aca="false">IF(OR(D323="",D323=0),"",B323/D323)</f>
        <v>311.340142940401</v>
      </c>
    </row>
    <row r="324" customFormat="false" ht="15" hidden="false" customHeight="false" outlineLevel="0" collapsed="false">
      <c r="A324" s="4" t="n">
        <v>46234</v>
      </c>
      <c r="B324" s="5" t="n">
        <v>28000000</v>
      </c>
      <c r="C324" s="6" t="s">
        <v>318</v>
      </c>
      <c r="D324" s="7" t="n">
        <v>35258</v>
      </c>
      <c r="E324" s="6" t="n">
        <v>1895</v>
      </c>
      <c r="F324" s="5" t="n">
        <f aca="false">IF(OR(D324="",D324=0),"",B324/D324)</f>
        <v>794.146009416303</v>
      </c>
    </row>
    <row r="325" customFormat="false" ht="15" hidden="false" customHeight="false" outlineLevel="0" collapsed="false">
      <c r="A325" s="4" t="n">
        <v>46237</v>
      </c>
      <c r="B325" s="5" t="n">
        <v>238190529.7</v>
      </c>
      <c r="C325" s="6" t="s">
        <v>319</v>
      </c>
      <c r="D325" s="7" t="n">
        <v>494868</v>
      </c>
      <c r="E325" s="6" t="n">
        <v>1929</v>
      </c>
      <c r="F325" s="5" t="n">
        <f aca="false">IF(OR(D325="",D325=0),"",B325/D325)</f>
        <v>481.321341650703</v>
      </c>
    </row>
    <row r="326" customFormat="false" ht="15" hidden="false" customHeight="false" outlineLevel="0" collapsed="false">
      <c r="A326" s="4" t="n">
        <v>46237</v>
      </c>
      <c r="B326" s="5" t="n">
        <v>42000000</v>
      </c>
      <c r="C326" s="6" t="s">
        <v>320</v>
      </c>
      <c r="D326" s="7" t="n">
        <v>197207</v>
      </c>
      <c r="E326" s="6" t="n">
        <v>1886</v>
      </c>
      <c r="F326" s="5" t="n">
        <f aca="false">IF(OR(D326="",D326=0),"",B326/D326)</f>
        <v>212.974184486352</v>
      </c>
    </row>
    <row r="327" customFormat="false" ht="15" hidden="false" customHeight="false" outlineLevel="0" collapsed="false">
      <c r="A327" s="4" t="n">
        <v>46238</v>
      </c>
      <c r="B327" s="5" t="n">
        <v>12875000</v>
      </c>
      <c r="C327" s="6" t="s">
        <v>321</v>
      </c>
      <c r="D327" s="7" t="n">
        <v>3800</v>
      </c>
      <c r="E327" s="6" t="n">
        <v>1901</v>
      </c>
      <c r="F327" s="5" t="n">
        <f aca="false">IF(OR(D327="",D327=0),"",B327/D327)</f>
        <v>3388.15789473684</v>
      </c>
    </row>
    <row r="328" customFormat="false" ht="15" hidden="false" customHeight="false" outlineLevel="0" collapsed="false">
      <c r="A328" s="4" t="n">
        <v>46239</v>
      </c>
      <c r="B328" s="5" t="n">
        <v>80000000</v>
      </c>
      <c r="C328" s="6" t="s">
        <v>322</v>
      </c>
      <c r="D328" s="7" t="n">
        <v>181111</v>
      </c>
      <c r="E328" s="6" t="n">
        <v>1900</v>
      </c>
      <c r="F328" s="5" t="n">
        <f aca="false">IF(OR(D328="",D328=0),"",B328/D328)</f>
        <v>441.718062403719</v>
      </c>
    </row>
    <row r="329" customFormat="false" ht="15" hidden="false" customHeight="false" outlineLevel="0" collapsed="false">
      <c r="A329" s="4" t="n">
        <v>46239</v>
      </c>
      <c r="B329" s="5" t="n">
        <v>58075000</v>
      </c>
      <c r="C329" s="6" t="s">
        <v>323</v>
      </c>
      <c r="D329" s="7"/>
      <c r="E329" s="6"/>
      <c r="F329" s="5" t="str">
        <f aca="false">IF(OR(D329="",D329=0),"",B329/D329)</f>
        <v/>
      </c>
    </row>
    <row r="330" customFormat="false" ht="15" hidden="false" customHeight="false" outlineLevel="0" collapsed="false">
      <c r="A330" s="4" t="n">
        <v>46240</v>
      </c>
      <c r="B330" s="5" t="n">
        <v>96555625</v>
      </c>
      <c r="C330" s="6" t="s">
        <v>324</v>
      </c>
      <c r="D330" s="7" t="n">
        <v>62650</v>
      </c>
      <c r="E330" s="6" t="n">
        <v>1910</v>
      </c>
      <c r="F330" s="5" t="n">
        <f aca="false">IF(OR(D330="",D330=0),"",B330/D330)</f>
        <v>1541.19114126097</v>
      </c>
    </row>
    <row r="331" customFormat="false" ht="15" hidden="false" customHeight="false" outlineLevel="0" collapsed="false">
      <c r="A331" s="4" t="n">
        <v>46240</v>
      </c>
      <c r="B331" s="5" t="n">
        <v>11500000</v>
      </c>
      <c r="C331" s="6" t="s">
        <v>325</v>
      </c>
      <c r="D331" s="7" t="n">
        <v>48780</v>
      </c>
      <c r="E331" s="6" t="n">
        <v>1920</v>
      </c>
      <c r="F331" s="5" t="n">
        <f aca="false">IF(OR(D331="",D331=0),"",B331/D331)</f>
        <v>235.752357523575</v>
      </c>
    </row>
    <row r="332" customFormat="false" ht="15" hidden="false" customHeight="false" outlineLevel="0" collapsed="false">
      <c r="A332" s="4" t="n">
        <v>46241</v>
      </c>
      <c r="B332" s="5" t="n">
        <v>86878917.3</v>
      </c>
      <c r="C332" s="6" t="s">
        <v>326</v>
      </c>
      <c r="D332" s="7" t="n">
        <v>151180</v>
      </c>
      <c r="E332" s="6" t="n">
        <v>1924</v>
      </c>
      <c r="F332" s="5" t="n">
        <f aca="false">IF(OR(D332="",D332=0),"",B332/D332)</f>
        <v>574.672028707501</v>
      </c>
    </row>
    <row r="333" customFormat="false" ht="15" hidden="false" customHeight="false" outlineLevel="0" collapsed="false">
      <c r="A333" s="4" t="n">
        <v>46241</v>
      </c>
      <c r="B333" s="5" t="n">
        <v>22000000</v>
      </c>
      <c r="C333" s="6" t="s">
        <v>68</v>
      </c>
      <c r="D333" s="7" t="n">
        <v>584590</v>
      </c>
      <c r="E333" s="6" t="n">
        <v>2012</v>
      </c>
      <c r="F333" s="5" t="n">
        <f aca="false">IF(OR(D333="",D333=0),"",B333/D333)</f>
        <v>37.6332130210917</v>
      </c>
    </row>
    <row r="334" customFormat="false" ht="15" hidden="false" customHeight="false" outlineLevel="0" collapsed="false">
      <c r="A334" s="4" t="n">
        <v>46241</v>
      </c>
      <c r="B334" s="5" t="n">
        <v>14000000</v>
      </c>
      <c r="C334" s="6" t="s">
        <v>327</v>
      </c>
      <c r="D334" s="7" t="n">
        <v>29383</v>
      </c>
      <c r="E334" s="6" t="n">
        <v>2014</v>
      </c>
      <c r="F334" s="5" t="n">
        <f aca="false">IF(OR(D334="",D334=0),"",B334/D334)</f>
        <v>476.46598373209</v>
      </c>
    </row>
    <row r="335" customFormat="false" ht="15" hidden="false" customHeight="false" outlineLevel="0" collapsed="false">
      <c r="A335" s="4" t="n">
        <v>46244</v>
      </c>
      <c r="B335" s="5" t="n">
        <v>32702455</v>
      </c>
      <c r="C335" s="6" t="s">
        <v>328</v>
      </c>
      <c r="D335" s="7"/>
      <c r="E335" s="6"/>
      <c r="F335" s="5" t="str">
        <f aca="false">IF(OR(D335="",D335=0),"",B335/D335)</f>
        <v/>
      </c>
    </row>
    <row r="336" customFormat="false" ht="15" hidden="false" customHeight="false" outlineLevel="0" collapsed="false">
      <c r="A336" s="4" t="n">
        <v>46244</v>
      </c>
      <c r="B336" s="5" t="n">
        <v>20297545</v>
      </c>
      <c r="C336" s="6" t="s">
        <v>329</v>
      </c>
      <c r="D336" s="7" t="n">
        <v>32736</v>
      </c>
      <c r="E336" s="6" t="n">
        <v>1984</v>
      </c>
      <c r="F336" s="5" t="n">
        <f aca="false">IF(OR(D336="",D336=0),"",B336/D336)</f>
        <v>620.037420576735</v>
      </c>
    </row>
    <row r="337" customFormat="false" ht="15" hidden="false" customHeight="false" outlineLevel="0" collapsed="false">
      <c r="A337" s="4" t="n">
        <v>46244</v>
      </c>
      <c r="B337" s="5" t="n">
        <v>20000000</v>
      </c>
      <c r="C337" s="6" t="s">
        <v>330</v>
      </c>
      <c r="D337" s="7" t="n">
        <v>29000</v>
      </c>
      <c r="E337" s="6" t="n">
        <v>1913</v>
      </c>
      <c r="F337" s="5" t="n">
        <f aca="false">IF(OR(D337="",D337=0),"",B337/D337)</f>
        <v>689.655172413793</v>
      </c>
    </row>
    <row r="338" customFormat="false" ht="15" hidden="false" customHeight="false" outlineLevel="0" collapsed="false">
      <c r="A338" s="4" t="n">
        <v>46244</v>
      </c>
      <c r="B338" s="5" t="n">
        <v>16300000</v>
      </c>
      <c r="C338" s="6" t="s">
        <v>331</v>
      </c>
      <c r="D338" s="7" t="n">
        <v>30401</v>
      </c>
      <c r="E338" s="6" t="n">
        <v>1926</v>
      </c>
      <c r="F338" s="5" t="n">
        <f aca="false">IF(OR(D338="",D338=0),"",B338/D338)</f>
        <v>536.166573467978</v>
      </c>
    </row>
    <row r="339" customFormat="false" ht="15" hidden="false" customHeight="false" outlineLevel="0" collapsed="false">
      <c r="A339" s="4" t="n">
        <v>46244</v>
      </c>
      <c r="B339" s="5" t="n">
        <v>15500000</v>
      </c>
      <c r="C339" s="6" t="s">
        <v>332</v>
      </c>
      <c r="D339" s="7" t="n">
        <v>31915</v>
      </c>
      <c r="E339" s="6" t="n">
        <v>1974</v>
      </c>
      <c r="F339" s="5" t="n">
        <f aca="false">IF(OR(D339="",D339=0),"",B339/D339)</f>
        <v>485.665047783174</v>
      </c>
    </row>
    <row r="340" customFormat="false" ht="15" hidden="false" customHeight="false" outlineLevel="0" collapsed="false">
      <c r="A340" s="4" t="n">
        <v>46244</v>
      </c>
      <c r="B340" s="5" t="n">
        <v>9100000</v>
      </c>
      <c r="C340" s="6" t="s">
        <v>333</v>
      </c>
      <c r="D340" s="7"/>
      <c r="E340" s="6"/>
      <c r="F340" s="5" t="str">
        <f aca="false">IF(OR(D340="",D340=0),"",B340/D340)</f>
        <v/>
      </c>
    </row>
    <row r="341" customFormat="false" ht="15" hidden="false" customHeight="false" outlineLevel="0" collapsed="false">
      <c r="A341" s="4" t="n">
        <v>46245</v>
      </c>
      <c r="B341" s="5" t="n">
        <v>310000000</v>
      </c>
      <c r="C341" s="6" t="s">
        <v>334</v>
      </c>
      <c r="D341" s="7" t="n">
        <v>366879</v>
      </c>
      <c r="E341" s="6" t="n">
        <v>1971</v>
      </c>
      <c r="F341" s="5" t="n">
        <f aca="false">IF(OR(D341="",D341=0),"",B341/D341)</f>
        <v>844.965233769172</v>
      </c>
    </row>
    <row r="342" customFormat="false" ht="15" hidden="false" customHeight="false" outlineLevel="0" collapsed="false">
      <c r="A342" s="4" t="n">
        <v>46245</v>
      </c>
      <c r="B342" s="5" t="n">
        <v>41750076</v>
      </c>
      <c r="C342" s="6" t="s">
        <v>335</v>
      </c>
      <c r="D342" s="7" t="n">
        <v>303327</v>
      </c>
      <c r="E342" s="6" t="n">
        <v>1924</v>
      </c>
      <c r="F342" s="5" t="n">
        <f aca="false">IF(OR(D342="",D342=0),"",B342/D342)</f>
        <v>137.640486999179</v>
      </c>
    </row>
    <row r="343" customFormat="false" ht="15" hidden="false" customHeight="false" outlineLevel="0" collapsed="false">
      <c r="A343" s="4" t="n">
        <v>46245</v>
      </c>
      <c r="B343" s="5" t="n">
        <v>28000000</v>
      </c>
      <c r="C343" s="6" t="s">
        <v>336</v>
      </c>
      <c r="D343" s="7" t="n">
        <v>44034</v>
      </c>
      <c r="E343" s="6" t="n">
        <v>1848</v>
      </c>
      <c r="F343" s="5" t="n">
        <f aca="false">IF(OR(D343="",D343=0),"",B343/D343)</f>
        <v>635.872280510515</v>
      </c>
    </row>
    <row r="344" customFormat="false" ht="15" hidden="false" customHeight="false" outlineLevel="0" collapsed="false">
      <c r="A344" s="4" t="n">
        <v>46245</v>
      </c>
      <c r="B344" s="5" t="n">
        <v>18700000</v>
      </c>
      <c r="C344" s="6" t="s">
        <v>337</v>
      </c>
      <c r="D344" s="7" t="n">
        <v>22686</v>
      </c>
      <c r="E344" s="6" t="n">
        <v>1906</v>
      </c>
      <c r="F344" s="5" t="n">
        <f aca="false">IF(OR(D344="",D344=0),"",B344/D344)</f>
        <v>824.296923212554</v>
      </c>
    </row>
    <row r="345" customFormat="false" ht="15" hidden="false" customHeight="false" outlineLevel="0" collapsed="false">
      <c r="A345" s="4" t="n">
        <v>46245</v>
      </c>
      <c r="B345" s="5" t="n">
        <v>17000000</v>
      </c>
      <c r="C345" s="6" t="s">
        <v>338</v>
      </c>
      <c r="D345" s="7" t="n">
        <v>2814</v>
      </c>
      <c r="E345" s="6" t="n">
        <v>1931</v>
      </c>
      <c r="F345" s="5" t="n">
        <f aca="false">IF(OR(D345="",D345=0),"",B345/D345)</f>
        <v>6041.22245913291</v>
      </c>
    </row>
    <row r="346" customFormat="false" ht="15" hidden="false" customHeight="false" outlineLevel="0" collapsed="false">
      <c r="A346" s="4" t="n">
        <v>46245</v>
      </c>
      <c r="B346" s="5" t="n">
        <v>11500000</v>
      </c>
      <c r="C346" s="6" t="s">
        <v>339</v>
      </c>
      <c r="D346" s="7" t="n">
        <v>3990</v>
      </c>
      <c r="E346" s="6" t="n">
        <v>1879</v>
      </c>
      <c r="F346" s="5" t="n">
        <f aca="false">IF(OR(D346="",D346=0),"",B346/D346)</f>
        <v>2882.20551378446</v>
      </c>
    </row>
    <row r="347" customFormat="false" ht="15" hidden="false" customHeight="false" outlineLevel="0" collapsed="false">
      <c r="A347" s="4" t="n">
        <v>46245</v>
      </c>
      <c r="B347" s="5" t="n">
        <v>10750000</v>
      </c>
      <c r="C347" s="6" t="s">
        <v>340</v>
      </c>
      <c r="D347" s="7" t="n">
        <v>89750</v>
      </c>
      <c r="E347" s="6" t="n">
        <v>1900</v>
      </c>
      <c r="F347" s="5" t="n">
        <f aca="false">IF(OR(D347="",D347=0),"",B347/D347)</f>
        <v>119.777158774373</v>
      </c>
    </row>
    <row r="348" customFormat="false" ht="15" hidden="false" customHeight="false" outlineLevel="0" collapsed="false">
      <c r="A348" s="4" t="n">
        <v>46246</v>
      </c>
      <c r="B348" s="5" t="n">
        <v>11992650</v>
      </c>
      <c r="C348" s="6" t="s">
        <v>341</v>
      </c>
      <c r="D348" s="7" t="n">
        <v>176309</v>
      </c>
      <c r="E348" s="6" t="n">
        <v>1960</v>
      </c>
      <c r="F348" s="5" t="n">
        <f aca="false">IF(OR(D348="",D348=0),"",B348/D348)</f>
        <v>68.0206342274076</v>
      </c>
    </row>
    <row r="349" customFormat="false" ht="15" hidden="false" customHeight="false" outlineLevel="0" collapsed="false">
      <c r="A349" s="4" t="n">
        <v>46246</v>
      </c>
      <c r="B349" s="5" t="n">
        <v>9901100</v>
      </c>
      <c r="C349" s="6" t="s">
        <v>342</v>
      </c>
      <c r="D349" s="7" t="n">
        <v>90840</v>
      </c>
      <c r="E349" s="6" t="n">
        <v>1950</v>
      </c>
      <c r="F349" s="5" t="n">
        <f aca="false">IF(OR(D349="",D349=0),"",B349/D349)</f>
        <v>108.994936151475</v>
      </c>
    </row>
    <row r="350" customFormat="false" ht="15" hidden="false" customHeight="false" outlineLevel="0" collapsed="false">
      <c r="A350" s="4" t="n">
        <v>46246</v>
      </c>
      <c r="B350" s="5" t="n">
        <v>8999600</v>
      </c>
      <c r="C350" s="6" t="s">
        <v>343</v>
      </c>
      <c r="D350" s="7" t="n">
        <v>138570</v>
      </c>
      <c r="E350" s="6" t="n">
        <v>1970</v>
      </c>
      <c r="F350" s="5" t="n">
        <f aca="false">IF(OR(D350="",D350=0),"",B350/D350)</f>
        <v>64.9462365591398</v>
      </c>
    </row>
    <row r="351" customFormat="false" ht="15" hidden="false" customHeight="false" outlineLevel="0" collapsed="false">
      <c r="A351" s="4" t="n">
        <v>46247</v>
      </c>
      <c r="B351" s="5" t="n">
        <v>23500000</v>
      </c>
      <c r="C351" s="6" t="s">
        <v>344</v>
      </c>
      <c r="D351" s="7" t="n">
        <v>24000</v>
      </c>
      <c r="E351" s="6" t="n">
        <v>1996</v>
      </c>
      <c r="F351" s="5" t="n">
        <f aca="false">IF(OR(D351="",D351=0),"",B351/D351)</f>
        <v>979.166666666667</v>
      </c>
    </row>
    <row r="352" customFormat="false" ht="15" hidden="false" customHeight="false" outlineLevel="0" collapsed="false">
      <c r="A352" s="4" t="n">
        <v>46247</v>
      </c>
      <c r="B352" s="5" t="n">
        <v>12600000</v>
      </c>
      <c r="C352" s="6" t="s">
        <v>345</v>
      </c>
      <c r="D352" s="7" t="n">
        <v>18826</v>
      </c>
      <c r="E352" s="6" t="n">
        <v>1953</v>
      </c>
      <c r="F352" s="5" t="n">
        <f aca="false">IF(OR(D352="",D352=0),"",B352/D352)</f>
        <v>669.287156060767</v>
      </c>
    </row>
    <row r="353" customFormat="false" ht="15" hidden="false" customHeight="false" outlineLevel="0" collapsed="false">
      <c r="A353" s="4" t="n">
        <v>46248</v>
      </c>
      <c r="B353" s="5" t="n">
        <v>33200000</v>
      </c>
      <c r="C353" s="6" t="s">
        <v>346</v>
      </c>
      <c r="D353" s="7" t="n">
        <v>38838</v>
      </c>
      <c r="E353" s="6" t="n">
        <v>1927</v>
      </c>
      <c r="F353" s="5" t="n">
        <f aca="false">IF(OR(D353="",D353=0),"",B353/D353)</f>
        <v>854.832895617694</v>
      </c>
    </row>
    <row r="354" customFormat="false" ht="15" hidden="false" customHeight="false" outlineLevel="0" collapsed="false">
      <c r="A354" s="4" t="n">
        <v>46251</v>
      </c>
      <c r="B354" s="5" t="n">
        <v>65000000</v>
      </c>
      <c r="C354" s="6" t="s">
        <v>347</v>
      </c>
      <c r="D354" s="7" t="n">
        <v>73000</v>
      </c>
      <c r="E354" s="6" t="n">
        <v>1985</v>
      </c>
      <c r="F354" s="5" t="n">
        <f aca="false">IF(OR(D354="",D354=0),"",B354/D354)</f>
        <v>890.41095890411</v>
      </c>
    </row>
    <row r="355" customFormat="false" ht="15" hidden="false" customHeight="false" outlineLevel="0" collapsed="false">
      <c r="A355" s="4" t="n">
        <v>46253</v>
      </c>
      <c r="B355" s="5" t="n">
        <v>26250000</v>
      </c>
      <c r="C355" s="6" t="s">
        <v>348</v>
      </c>
      <c r="D355" s="7" t="n">
        <v>36600</v>
      </c>
      <c r="E355" s="6" t="n">
        <v>1948</v>
      </c>
      <c r="F355" s="5" t="n">
        <f aca="false">IF(OR(D355="",D355=0),"",B355/D355)</f>
        <v>717.213114754098</v>
      </c>
    </row>
    <row r="356" customFormat="false" ht="15" hidden="false" customHeight="false" outlineLevel="0" collapsed="false">
      <c r="A356" s="4" t="n">
        <v>46254</v>
      </c>
      <c r="B356" s="5" t="n">
        <v>3500000</v>
      </c>
      <c r="C356" s="6" t="s">
        <v>349</v>
      </c>
      <c r="D356" s="7" t="n">
        <v>10775</v>
      </c>
      <c r="E356" s="6" t="n">
        <v>1958</v>
      </c>
      <c r="F356" s="5" t="n">
        <f aca="false">IF(OR(D356="",D356=0),"",B356/D356)</f>
        <v>324.825986078886</v>
      </c>
    </row>
    <row r="357" customFormat="false" ht="15" hidden="false" customHeight="false" outlineLevel="0" collapsed="false">
      <c r="A357" s="4" t="n">
        <v>46255</v>
      </c>
      <c r="B357" s="5" t="n">
        <v>30100000</v>
      </c>
      <c r="C357" s="6" t="s">
        <v>350</v>
      </c>
      <c r="D357" s="7" t="n">
        <v>79079</v>
      </c>
      <c r="E357" s="6" t="n">
        <v>1973</v>
      </c>
      <c r="F357" s="5" t="n">
        <f aca="false">IF(OR(D357="",D357=0),"",B357/D357)</f>
        <v>380.632026201646</v>
      </c>
    </row>
    <row r="358" customFormat="false" ht="15" hidden="false" customHeight="false" outlineLevel="0" collapsed="false">
      <c r="A358" s="4" t="n">
        <v>46258</v>
      </c>
      <c r="B358" s="5" t="n">
        <v>30000000</v>
      </c>
      <c r="C358" s="6" t="s">
        <v>351</v>
      </c>
      <c r="D358" s="7" t="n">
        <v>133697</v>
      </c>
      <c r="E358" s="6" t="n">
        <v>2001</v>
      </c>
      <c r="F358" s="5" t="n">
        <f aca="false">IF(OR(D358="",D358=0),"",B358/D358)</f>
        <v>224.387981779696</v>
      </c>
    </row>
    <row r="359" customFormat="false" ht="15" hidden="false" customHeight="false" outlineLevel="0" collapsed="false">
      <c r="A359" s="4" t="n">
        <v>46258</v>
      </c>
      <c r="B359" s="5" t="n">
        <v>10600000</v>
      </c>
      <c r="C359" s="6" t="s">
        <v>352</v>
      </c>
      <c r="D359" s="7" t="n">
        <v>4600</v>
      </c>
      <c r="E359" s="6" t="n">
        <v>1835</v>
      </c>
      <c r="F359" s="5" t="n">
        <f aca="false">IF(OR(D359="",D359=0),"",B359/D359)</f>
        <v>2304.34782608696</v>
      </c>
    </row>
    <row r="360" customFormat="false" ht="15" hidden="false" customHeight="false" outlineLevel="0" collapsed="false">
      <c r="A360" s="4" t="n">
        <v>46259</v>
      </c>
      <c r="B360" s="5" t="n">
        <v>51500000</v>
      </c>
      <c r="C360" s="6" t="s">
        <v>353</v>
      </c>
      <c r="D360" s="7" t="n">
        <v>58578</v>
      </c>
      <c r="E360" s="6" t="n">
        <v>1989</v>
      </c>
      <c r="F360" s="5" t="n">
        <f aca="false">IF(OR(D360="",D360=0),"",B360/D360)</f>
        <v>879.169654136365</v>
      </c>
    </row>
    <row r="361" customFormat="false" ht="15" hidden="false" customHeight="false" outlineLevel="0" collapsed="false">
      <c r="A361" s="4" t="n">
        <v>46260</v>
      </c>
      <c r="B361" s="5" t="n">
        <v>20720000</v>
      </c>
      <c r="C361" s="6" t="s">
        <v>354</v>
      </c>
      <c r="D361" s="7" t="n">
        <v>11245</v>
      </c>
      <c r="E361" s="6" t="n">
        <v>1885</v>
      </c>
      <c r="F361" s="5" t="n">
        <f aca="false">IF(OR(D361="",D361=0),"",B361/D361)</f>
        <v>1842.59670964873</v>
      </c>
    </row>
    <row r="362" customFormat="false" ht="15" hidden="false" customHeight="false" outlineLevel="0" collapsed="false">
      <c r="A362" s="4" t="n">
        <v>46260</v>
      </c>
      <c r="B362" s="5" t="n">
        <v>4250000</v>
      </c>
      <c r="C362" s="6" t="s">
        <v>355</v>
      </c>
      <c r="D362" s="7" t="n">
        <v>90618</v>
      </c>
      <c r="E362" s="6" t="n">
        <v>1926</v>
      </c>
      <c r="F362" s="5" t="n">
        <f aca="false">IF(OR(D362="",D362=0),"",B362/D362)</f>
        <v>46.9001743582953</v>
      </c>
    </row>
    <row r="363" customFormat="false" ht="15" hidden="false" customHeight="false" outlineLevel="0" collapsed="false">
      <c r="A363" s="4" t="n">
        <v>46261</v>
      </c>
      <c r="B363" s="5" t="n">
        <v>30000000</v>
      </c>
      <c r="C363" s="6" t="s">
        <v>356</v>
      </c>
      <c r="D363" s="7" t="n">
        <v>53200</v>
      </c>
      <c r="E363" s="6" t="n">
        <v>1931</v>
      </c>
      <c r="F363" s="5" t="n">
        <f aca="false">IF(OR(D363="",D363=0),"",B363/D363)</f>
        <v>563.90977443609</v>
      </c>
    </row>
    <row r="364" customFormat="false" ht="15" hidden="false" customHeight="false" outlineLevel="0" collapsed="false">
      <c r="A364" s="4" t="n">
        <v>46261</v>
      </c>
      <c r="B364" s="5" t="n">
        <v>15500000</v>
      </c>
      <c r="C364" s="6" t="s">
        <v>357</v>
      </c>
      <c r="D364" s="7" t="n">
        <v>25500</v>
      </c>
      <c r="E364" s="6" t="n">
        <v>1961</v>
      </c>
      <c r="F364" s="5" t="n">
        <f aca="false">IF(OR(D364="",D364=0),"",B364/D364)</f>
        <v>607.843137254902</v>
      </c>
    </row>
    <row r="365" customFormat="false" ht="15" hidden="false" customHeight="false" outlineLevel="0" collapsed="false">
      <c r="A365" s="4" t="n">
        <v>46261</v>
      </c>
      <c r="B365" s="5" t="n">
        <v>10000000</v>
      </c>
      <c r="C365" s="6" t="s">
        <v>358</v>
      </c>
      <c r="D365" s="7" t="n">
        <v>1364</v>
      </c>
      <c r="E365" s="6" t="n">
        <v>1925</v>
      </c>
      <c r="F365" s="5" t="n">
        <f aca="false">IF(OR(D365="",D365=0),"",B365/D365)</f>
        <v>7331.37829912023</v>
      </c>
    </row>
    <row r="366" customFormat="false" ht="15" hidden="false" customHeight="false" outlineLevel="0" collapsed="false">
      <c r="A366" s="4" t="n">
        <v>46261</v>
      </c>
      <c r="B366" s="5" t="n">
        <v>5162500</v>
      </c>
      <c r="C366" s="6" t="s">
        <v>359</v>
      </c>
      <c r="D366" s="7" t="n">
        <v>10300</v>
      </c>
      <c r="E366" s="6" t="n">
        <v>1920</v>
      </c>
      <c r="F366" s="5" t="n">
        <f aca="false">IF(OR(D366="",D366=0),"",B366/D366)</f>
        <v>501.21359223301</v>
      </c>
    </row>
    <row r="367" customFormat="false" ht="15" hidden="false" customHeight="false" outlineLevel="0" collapsed="false">
      <c r="A367" s="4" t="n">
        <v>46261</v>
      </c>
      <c r="B367" s="5" t="n">
        <v>3300000</v>
      </c>
      <c r="C367" s="6" t="s">
        <v>360</v>
      </c>
      <c r="D367" s="7" t="n">
        <v>53860</v>
      </c>
      <c r="E367" s="6" t="n">
        <v>1922</v>
      </c>
      <c r="F367" s="5" t="n">
        <f aca="false">IF(OR(D367="",D367=0),"",B367/D367)</f>
        <v>61.2699591533606</v>
      </c>
    </row>
    <row r="368" customFormat="false" ht="15" hidden="false" customHeight="false" outlineLevel="0" collapsed="false">
      <c r="A368" s="4" t="n">
        <v>46262</v>
      </c>
      <c r="B368" s="5" t="n">
        <v>21603666.84</v>
      </c>
      <c r="C368" s="6" t="s">
        <v>361</v>
      </c>
      <c r="D368" s="7" t="n">
        <v>50000</v>
      </c>
      <c r="E368" s="6" t="n">
        <v>1959</v>
      </c>
      <c r="F368" s="5" t="n">
        <f aca="false">IF(OR(D368="",D368=0),"",B368/D368)</f>
        <v>432.0733368</v>
      </c>
    </row>
    <row r="369" customFormat="false" ht="15" hidden="false" customHeight="false" outlineLevel="0" collapsed="false">
      <c r="A369" s="4" t="n">
        <v>46262</v>
      </c>
      <c r="B369" s="5" t="n">
        <v>20000000</v>
      </c>
      <c r="C369" s="6" t="s">
        <v>362</v>
      </c>
      <c r="D369" s="7"/>
      <c r="E369" s="6"/>
      <c r="F369" s="5" t="str">
        <f aca="false">IF(OR(D369="",D369=0),"",B369/D369)</f>
        <v/>
      </c>
    </row>
    <row r="370" customFormat="false" ht="15" hidden="false" customHeight="false" outlineLevel="0" collapsed="false">
      <c r="A370" s="4" t="n">
        <v>46262</v>
      </c>
      <c r="B370" s="5" t="n">
        <v>10500000</v>
      </c>
      <c r="C370" s="6" t="s">
        <v>363</v>
      </c>
      <c r="D370" s="7" t="n">
        <v>15000</v>
      </c>
      <c r="E370" s="6" t="n">
        <v>1920</v>
      </c>
      <c r="F370" s="5" t="n">
        <f aca="false">IF(OR(D370="",D370=0),"",B370/D370)</f>
        <v>700</v>
      </c>
    </row>
    <row r="371" customFormat="false" ht="15" hidden="false" customHeight="false" outlineLevel="0" collapsed="false">
      <c r="A371" s="4" t="n">
        <v>46265</v>
      </c>
      <c r="B371" s="5" t="n">
        <v>50000000</v>
      </c>
      <c r="C371" s="6" t="s">
        <v>364</v>
      </c>
      <c r="D371" s="7" t="n">
        <v>55916</v>
      </c>
      <c r="E371" s="6" t="n">
        <v>2001</v>
      </c>
      <c r="F371" s="5" t="n">
        <f aca="false">IF(OR(D371="",D371=0),"",B371/D371)</f>
        <v>894.19844051792</v>
      </c>
    </row>
    <row r="372" customFormat="false" ht="15" hidden="false" customHeight="false" outlineLevel="0" collapsed="false">
      <c r="A372" s="4" t="n">
        <v>46266</v>
      </c>
      <c r="B372" s="5" t="n">
        <v>16388000</v>
      </c>
      <c r="C372" s="6" t="s">
        <v>365</v>
      </c>
      <c r="D372" s="7" t="n">
        <v>13650</v>
      </c>
      <c r="E372" s="6" t="n">
        <v>1920</v>
      </c>
      <c r="F372" s="5" t="n">
        <f aca="false">IF(OR(D372="",D372=0),"",B372/D372)</f>
        <v>1200.58608058608</v>
      </c>
    </row>
    <row r="373" customFormat="false" ht="15" hidden="false" customHeight="false" outlineLevel="0" collapsed="false">
      <c r="A373" s="4" t="n">
        <v>46266</v>
      </c>
      <c r="B373" s="5" t="n">
        <v>15200000</v>
      </c>
      <c r="C373" s="6" t="s">
        <v>366</v>
      </c>
      <c r="D373" s="7"/>
      <c r="E373" s="6"/>
      <c r="F373" s="5" t="str">
        <f aca="false">IF(OR(D373="",D373=0),"",B373/D373)</f>
        <v/>
      </c>
    </row>
    <row r="374" customFormat="false" ht="15" hidden="false" customHeight="false" outlineLevel="0" collapsed="false">
      <c r="A374" s="4" t="n">
        <v>46268</v>
      </c>
      <c r="B374" s="5" t="n">
        <v>47000000</v>
      </c>
      <c r="C374" s="6" t="s">
        <v>367</v>
      </c>
      <c r="D374" s="7" t="n">
        <v>42000</v>
      </c>
      <c r="E374" s="6" t="n">
        <v>1889</v>
      </c>
      <c r="F374" s="5" t="n">
        <f aca="false">IF(OR(D374="",D374=0),"",B374/D374)</f>
        <v>1119.04761904762</v>
      </c>
    </row>
    <row r="375" customFormat="false" ht="15" hidden="false" customHeight="false" outlineLevel="0" collapsed="false">
      <c r="A375" s="4" t="n">
        <v>46268</v>
      </c>
      <c r="B375" s="5" t="n">
        <v>13999999</v>
      </c>
      <c r="C375" s="6" t="s">
        <v>368</v>
      </c>
      <c r="D375" s="7" t="n">
        <v>264976</v>
      </c>
      <c r="E375" s="6" t="n">
        <v>1938</v>
      </c>
      <c r="F375" s="5" t="n">
        <f aca="false">IF(OR(D375="",D375=0),"",B375/D375)</f>
        <v>52.8349699595435</v>
      </c>
    </row>
    <row r="376" customFormat="false" ht="15" hidden="false" customHeight="false" outlineLevel="0" collapsed="false">
      <c r="A376" s="4" t="n">
        <v>46268</v>
      </c>
      <c r="B376" s="5" t="n">
        <v>7846415</v>
      </c>
      <c r="C376" s="6" t="s">
        <v>369</v>
      </c>
      <c r="D376" s="7" t="n">
        <v>22500</v>
      </c>
      <c r="E376" s="6" t="n">
        <v>1946</v>
      </c>
      <c r="F376" s="5" t="n">
        <f aca="false">IF(OR(D376="",D376=0),"",B376/D376)</f>
        <v>348.729555555556</v>
      </c>
    </row>
    <row r="377" customFormat="false" ht="15" hidden="false" customHeight="false" outlineLevel="0" collapsed="false">
      <c r="A377" s="4" t="n">
        <v>46268</v>
      </c>
      <c r="B377" s="5" t="n">
        <v>3100000</v>
      </c>
      <c r="C377" s="6" t="s">
        <v>370</v>
      </c>
      <c r="D377" s="7" t="n">
        <v>23398</v>
      </c>
      <c r="E377" s="6" t="n">
        <v>1931</v>
      </c>
      <c r="F377" s="5" t="n">
        <f aca="false">IF(OR(D377="",D377=0),"",B377/D377)</f>
        <v>132.48995640653</v>
      </c>
    </row>
    <row r="378" customFormat="false" ht="15" hidden="false" customHeight="false" outlineLevel="0" collapsed="false">
      <c r="A378" s="4" t="n">
        <v>46268</v>
      </c>
      <c r="B378" s="5" t="n">
        <v>2300000</v>
      </c>
      <c r="C378" s="6" t="s">
        <v>371</v>
      </c>
      <c r="D378" s="7" t="n">
        <v>2735</v>
      </c>
      <c r="E378" s="6" t="n">
        <v>1910</v>
      </c>
      <c r="F378" s="5" t="n">
        <f aca="false">IF(OR(D378="",D378=0),"",B378/D378)</f>
        <v>840.950639853748</v>
      </c>
    </row>
    <row r="379" customFormat="false" ht="15" hidden="false" customHeight="false" outlineLevel="0" collapsed="false">
      <c r="A379" s="4" t="n">
        <v>46268</v>
      </c>
      <c r="B379" s="5" t="n">
        <v>1900000</v>
      </c>
      <c r="C379" s="6" t="s">
        <v>372</v>
      </c>
      <c r="D379" s="7" t="n">
        <v>2340</v>
      </c>
      <c r="E379" s="6" t="n">
        <v>1920</v>
      </c>
      <c r="F379" s="5" t="n">
        <f aca="false">IF(OR(D379="",D379=0),"",B379/D379)</f>
        <v>811.965811965812</v>
      </c>
    </row>
    <row r="380" customFormat="false" ht="15" hidden="false" customHeight="false" outlineLevel="0" collapsed="false">
      <c r="A380" s="4" t="n">
        <v>46268</v>
      </c>
      <c r="B380" s="5" t="n">
        <v>1700000</v>
      </c>
      <c r="C380" s="6" t="s">
        <v>373</v>
      </c>
      <c r="D380" s="7" t="n">
        <v>2244</v>
      </c>
      <c r="E380" s="6" t="n">
        <v>1910</v>
      </c>
      <c r="F380" s="5" t="n">
        <f aca="false">IF(OR(D380="",D380=0),"",B380/D380)</f>
        <v>757.575757575758</v>
      </c>
    </row>
    <row r="381" customFormat="false" ht="15" hidden="false" customHeight="false" outlineLevel="0" collapsed="false">
      <c r="A381" s="4" t="n">
        <v>46269</v>
      </c>
      <c r="B381" s="5" t="n">
        <v>20500000</v>
      </c>
      <c r="C381" s="6" t="s">
        <v>374</v>
      </c>
      <c r="D381" s="7" t="n">
        <v>297063</v>
      </c>
      <c r="E381" s="6" t="n">
        <v>2018</v>
      </c>
      <c r="F381" s="5" t="n">
        <f aca="false">IF(OR(D381="",D381=0),"",B381/D381)</f>
        <v>69.0089307655279</v>
      </c>
    </row>
    <row r="382" customFormat="false" ht="15" hidden="false" customHeight="false" outlineLevel="0" collapsed="false">
      <c r="A382" s="4" t="n">
        <v>46269</v>
      </c>
      <c r="B382" s="5" t="n">
        <v>18850000</v>
      </c>
      <c r="C382" s="6" t="s">
        <v>301</v>
      </c>
      <c r="D382" s="7" t="n">
        <v>533883</v>
      </c>
      <c r="E382" s="6" t="n">
        <v>2013</v>
      </c>
      <c r="F382" s="5" t="n">
        <f aca="false">IF(OR(D382="",D382=0),"",B382/D382)</f>
        <v>35.3073613507079</v>
      </c>
    </row>
    <row r="383" customFormat="false" ht="15" hidden="false" customHeight="false" outlineLevel="0" collapsed="false">
      <c r="A383" s="4" t="n">
        <v>46269</v>
      </c>
      <c r="B383" s="5" t="n">
        <v>15500000</v>
      </c>
      <c r="C383" s="6" t="s">
        <v>375</v>
      </c>
      <c r="D383" s="7" t="n">
        <v>46200</v>
      </c>
      <c r="E383" s="6" t="n">
        <v>2005</v>
      </c>
      <c r="F383" s="5" t="n">
        <f aca="false">IF(OR(D383="",D383=0),"",B383/D383)</f>
        <v>335.497835497836</v>
      </c>
    </row>
    <row r="384" customFormat="false" ht="15" hidden="false" customHeight="false" outlineLevel="0" collapsed="false">
      <c r="A384" s="4" t="n">
        <v>46269</v>
      </c>
      <c r="B384" s="5" t="n">
        <v>2225000</v>
      </c>
      <c r="C384" s="6" t="s">
        <v>376</v>
      </c>
      <c r="D384" s="7" t="n">
        <v>4750</v>
      </c>
      <c r="E384" s="6" t="n">
        <v>1931</v>
      </c>
      <c r="F384" s="5" t="n">
        <f aca="false">IF(OR(D384="",D384=0),"",B384/D384)</f>
        <v>468.421052631579</v>
      </c>
    </row>
    <row r="385" customFormat="false" ht="15" hidden="false" customHeight="false" outlineLevel="0" collapsed="false">
      <c r="A385" s="4" t="n">
        <v>46273</v>
      </c>
      <c r="B385" s="5" t="n">
        <v>30600000</v>
      </c>
      <c r="C385" s="6" t="s">
        <v>377</v>
      </c>
      <c r="D385" s="7" t="n">
        <v>16477</v>
      </c>
      <c r="E385" s="6" t="n">
        <v>1877</v>
      </c>
      <c r="F385" s="5" t="n">
        <f aca="false">IF(OR(D385="",D385=0),"",B385/D385)</f>
        <v>1857.13418704861</v>
      </c>
    </row>
    <row r="386" customFormat="false" ht="15" hidden="false" customHeight="false" outlineLevel="0" collapsed="false">
      <c r="A386" s="4" t="n">
        <v>46273</v>
      </c>
      <c r="B386" s="5" t="n">
        <v>29400000</v>
      </c>
      <c r="C386" s="6" t="s">
        <v>378</v>
      </c>
      <c r="D386" s="7" t="n">
        <v>16473</v>
      </c>
      <c r="E386" s="6" t="n">
        <v>1877</v>
      </c>
      <c r="F386" s="5" t="n">
        <f aca="false">IF(OR(D386="",D386=0),"",B386/D386)</f>
        <v>1784.73866326716</v>
      </c>
    </row>
    <row r="387" customFormat="false" ht="15" hidden="false" customHeight="false" outlineLevel="0" collapsed="false">
      <c r="A387" s="4" t="n">
        <v>46273</v>
      </c>
      <c r="B387" s="5" t="n">
        <v>28250000</v>
      </c>
      <c r="C387" s="6" t="s">
        <v>379</v>
      </c>
      <c r="D387" s="7" t="n">
        <v>36725</v>
      </c>
      <c r="E387" s="6" t="n">
        <v>2017</v>
      </c>
      <c r="F387" s="5" t="n">
        <f aca="false">IF(OR(D387="",D387=0),"",B387/D387)</f>
        <v>769.230769230769</v>
      </c>
    </row>
    <row r="388" customFormat="false" ht="15" hidden="false" customHeight="false" outlineLevel="0" collapsed="false">
      <c r="A388" s="4" t="n">
        <v>46273</v>
      </c>
      <c r="B388" s="5" t="n">
        <v>6500000</v>
      </c>
      <c r="C388" s="6" t="s">
        <v>380</v>
      </c>
      <c r="D388" s="7" t="n">
        <v>14784</v>
      </c>
      <c r="E388" s="6" t="n">
        <v>1955</v>
      </c>
      <c r="F388" s="5" t="n">
        <f aca="false">IF(OR(D388="",D388=0),"",B388/D388)</f>
        <v>439.664502164502</v>
      </c>
    </row>
    <row r="389" customFormat="false" ht="15" hidden="false" customHeight="false" outlineLevel="0" collapsed="false">
      <c r="A389" s="4" t="n">
        <v>46274</v>
      </c>
      <c r="B389" s="5" t="n">
        <v>122500000</v>
      </c>
      <c r="C389" s="6" t="s">
        <v>381</v>
      </c>
      <c r="D389" s="7" t="n">
        <v>147053</v>
      </c>
      <c r="E389" s="6" t="n">
        <v>2022</v>
      </c>
      <c r="F389" s="5" t="n">
        <f aca="false">IF(OR(D389="",D389=0),"",B389/D389)</f>
        <v>833.032988106329</v>
      </c>
    </row>
    <row r="390" customFormat="false" ht="15" hidden="false" customHeight="false" outlineLevel="0" collapsed="false">
      <c r="A390" s="4" t="n">
        <v>46274</v>
      </c>
      <c r="B390" s="5" t="n">
        <v>6849900</v>
      </c>
      <c r="C390" s="6" t="s">
        <v>382</v>
      </c>
      <c r="D390" s="7" t="n">
        <v>28064</v>
      </c>
      <c r="E390" s="6" t="n">
        <v>1926</v>
      </c>
      <c r="F390" s="5" t="n">
        <f aca="false">IF(OR(D390="",D390=0),"",B390/D390)</f>
        <v>244.081385404789</v>
      </c>
    </row>
    <row r="391" customFormat="false" ht="15" hidden="false" customHeight="false" outlineLevel="0" collapsed="false">
      <c r="A391" s="4" t="n">
        <v>46275</v>
      </c>
      <c r="B391" s="5" t="n">
        <v>73136835.28</v>
      </c>
      <c r="C391" s="6" t="s">
        <v>383</v>
      </c>
      <c r="D391" s="7" t="n">
        <v>145838</v>
      </c>
      <c r="E391" s="6" t="n">
        <v>1927</v>
      </c>
      <c r="F391" s="5" t="n">
        <f aca="false">IF(OR(D391="",D391=0),"",B391/D391)</f>
        <v>501.493679836531</v>
      </c>
    </row>
    <row r="392" customFormat="false" ht="15" hidden="false" customHeight="false" outlineLevel="0" collapsed="false">
      <c r="A392" s="4" t="n">
        <v>46275</v>
      </c>
      <c r="B392" s="5" t="n">
        <v>7100000</v>
      </c>
      <c r="C392" s="6" t="s">
        <v>384</v>
      </c>
      <c r="D392" s="7" t="n">
        <v>63750</v>
      </c>
      <c r="E392" s="6" t="n">
        <v>1927</v>
      </c>
      <c r="F392" s="5" t="n">
        <f aca="false">IF(OR(D392="",D392=0),"",B392/D392)</f>
        <v>111.372549019608</v>
      </c>
    </row>
    <row r="393" customFormat="false" ht="15" hidden="false" customHeight="false" outlineLevel="0" collapsed="false">
      <c r="A393" s="4" t="n">
        <v>46276</v>
      </c>
      <c r="B393" s="5" t="n">
        <v>54500000</v>
      </c>
      <c r="C393" s="6" t="s">
        <v>385</v>
      </c>
      <c r="D393" s="7" t="n">
        <v>59921</v>
      </c>
      <c r="E393" s="6" t="n">
        <v>1946</v>
      </c>
      <c r="F393" s="5" t="n">
        <f aca="false">IF(OR(D393="",D393=0),"",B393/D393)</f>
        <v>909.530882328399</v>
      </c>
    </row>
    <row r="394" customFormat="false" ht="15" hidden="false" customHeight="false" outlineLevel="0" collapsed="false">
      <c r="A394" s="4" t="n">
        <v>46276</v>
      </c>
      <c r="B394" s="5" t="n">
        <v>28000000</v>
      </c>
      <c r="C394" s="6" t="s">
        <v>386</v>
      </c>
      <c r="D394" s="7" t="n">
        <v>111756</v>
      </c>
      <c r="E394" s="6" t="n">
        <v>1915</v>
      </c>
      <c r="F394" s="5" t="n">
        <f aca="false">IF(OR(D394="",D394=0),"",B394/D394)</f>
        <v>250.545831991124</v>
      </c>
    </row>
    <row r="395" customFormat="false" ht="15" hidden="false" customHeight="false" outlineLevel="0" collapsed="false">
      <c r="A395" s="4" t="n">
        <v>46276</v>
      </c>
      <c r="B395" s="5" t="n">
        <v>1700000</v>
      </c>
      <c r="C395" s="6" t="s">
        <v>387</v>
      </c>
      <c r="D395" s="7" t="n">
        <v>3500</v>
      </c>
      <c r="E395" s="6" t="n">
        <v>1920</v>
      </c>
      <c r="F395" s="5" t="n">
        <f aca="false">IF(OR(D395="",D395=0),"",B395/D395)</f>
        <v>485.714285714286</v>
      </c>
    </row>
    <row r="396" customFormat="false" ht="15" hidden="false" customHeight="false" outlineLevel="0" collapsed="false">
      <c r="A396" s="4" t="n">
        <v>46279</v>
      </c>
      <c r="B396" s="5" t="n">
        <v>18300000</v>
      </c>
      <c r="C396" s="6" t="s">
        <v>388</v>
      </c>
      <c r="D396" s="7" t="n">
        <v>94263</v>
      </c>
      <c r="E396" s="6" t="n">
        <v>2006</v>
      </c>
      <c r="F396" s="5" t="n">
        <f aca="false">IF(OR(D396="",D396=0),"",B396/D396)</f>
        <v>194.137678622577</v>
      </c>
    </row>
    <row r="397" customFormat="false" ht="15" hidden="false" customHeight="false" outlineLevel="0" collapsed="false">
      <c r="A397" s="4" t="n">
        <v>46279</v>
      </c>
      <c r="B397" s="5" t="n">
        <v>11395000</v>
      </c>
      <c r="C397" s="6" t="s">
        <v>389</v>
      </c>
      <c r="D397" s="7" t="n">
        <v>4626</v>
      </c>
      <c r="E397" s="6" t="n">
        <v>1920</v>
      </c>
      <c r="F397" s="5" t="n">
        <f aca="false">IF(OR(D397="",D397=0),"",B397/D397)</f>
        <v>2463.25118893212</v>
      </c>
    </row>
    <row r="398" customFormat="false" ht="15" hidden="false" customHeight="false" outlineLevel="0" collapsed="false">
      <c r="A398" s="4" t="n">
        <v>46279</v>
      </c>
      <c r="B398" s="5" t="n">
        <v>7900000</v>
      </c>
      <c r="C398" s="6" t="s">
        <v>390</v>
      </c>
      <c r="D398" s="7" t="n">
        <v>16580</v>
      </c>
      <c r="E398" s="6" t="n">
        <v>1964</v>
      </c>
      <c r="F398" s="5" t="n">
        <f aca="false">IF(OR(D398="",D398=0),"",B398/D398)</f>
        <v>476.477683956574</v>
      </c>
    </row>
    <row r="399" customFormat="false" ht="15" hidden="false" customHeight="false" outlineLevel="0" collapsed="false">
      <c r="A399" s="4" t="n">
        <v>46281</v>
      </c>
      <c r="B399" s="5" t="n">
        <v>49000000</v>
      </c>
      <c r="C399" s="6" t="s">
        <v>391</v>
      </c>
      <c r="D399" s="7" t="n">
        <v>118906</v>
      </c>
      <c r="E399" s="6" t="n">
        <v>2022</v>
      </c>
      <c r="F399" s="5" t="n">
        <f aca="false">IF(OR(D399="",D399=0),"",B399/D399)</f>
        <v>412.09022252872</v>
      </c>
    </row>
    <row r="400" customFormat="false" ht="15" hidden="false" customHeight="false" outlineLevel="0" collapsed="false">
      <c r="A400" s="4" t="n">
        <v>46282</v>
      </c>
      <c r="B400" s="5" t="n">
        <v>95000000</v>
      </c>
      <c r="C400" s="6" t="s">
        <v>392</v>
      </c>
      <c r="D400" s="7" t="n">
        <v>90000</v>
      </c>
      <c r="E400" s="6" t="n">
        <v>1931</v>
      </c>
      <c r="F400" s="5" t="n">
        <f aca="false">IF(OR(D400="",D400=0),"",B400/D400)</f>
        <v>1055.55555555556</v>
      </c>
    </row>
    <row r="401" customFormat="false" ht="15" hidden="false" customHeight="false" outlineLevel="0" collapsed="false">
      <c r="A401" s="4" t="n">
        <v>46282</v>
      </c>
      <c r="B401" s="5" t="n">
        <v>57000000</v>
      </c>
      <c r="C401" s="6" t="s">
        <v>393</v>
      </c>
      <c r="D401" s="7" t="n">
        <v>58898</v>
      </c>
      <c r="E401" s="6" t="n">
        <v>1927</v>
      </c>
      <c r="F401" s="5" t="n">
        <f aca="false">IF(OR(D401="",D401=0),"",B401/D401)</f>
        <v>967.774797106863</v>
      </c>
    </row>
    <row r="402" customFormat="false" ht="15" hidden="false" customHeight="false" outlineLevel="0" collapsed="false">
      <c r="A402" s="4" t="n">
        <v>46282</v>
      </c>
      <c r="B402" s="5" t="n">
        <v>24750000</v>
      </c>
      <c r="C402" s="6" t="s">
        <v>394</v>
      </c>
      <c r="D402" s="7" t="n">
        <v>22728</v>
      </c>
      <c r="E402" s="6" t="n">
        <v>1901</v>
      </c>
      <c r="F402" s="5" t="n">
        <f aca="false">IF(OR(D402="",D402=0),"",B402/D402)</f>
        <v>1088.9651531151</v>
      </c>
    </row>
    <row r="403" customFormat="false" ht="15" hidden="false" customHeight="false" outlineLevel="0" collapsed="false">
      <c r="A403" s="4" t="n">
        <v>46282</v>
      </c>
      <c r="B403" s="5" t="n">
        <v>16000000</v>
      </c>
      <c r="C403" s="6" t="s">
        <v>395</v>
      </c>
      <c r="D403" s="7" t="n">
        <v>160157</v>
      </c>
      <c r="E403" s="6" t="n">
        <v>1895</v>
      </c>
      <c r="F403" s="5" t="n">
        <f aca="false">IF(OR(D403="",D403=0),"",B403/D403)</f>
        <v>99.9019711907691</v>
      </c>
    </row>
    <row r="404" customFormat="false" ht="15" hidden="false" customHeight="false" outlineLevel="0" collapsed="false">
      <c r="A404" s="4" t="n">
        <v>46282</v>
      </c>
      <c r="B404" s="5" t="n">
        <v>15600000</v>
      </c>
      <c r="C404" s="6" t="s">
        <v>396</v>
      </c>
      <c r="D404" s="7"/>
      <c r="E404" s="6"/>
      <c r="F404" s="5" t="str">
        <f aca="false">IF(OR(D404="",D404=0),"",B404/D404)</f>
        <v/>
      </c>
    </row>
    <row r="405" customFormat="false" ht="15" hidden="false" customHeight="false" outlineLevel="0" collapsed="false">
      <c r="A405" s="4" t="n">
        <v>46282</v>
      </c>
      <c r="B405" s="5" t="n">
        <v>15300000</v>
      </c>
      <c r="C405" s="6" t="s">
        <v>397</v>
      </c>
      <c r="D405" s="7" t="n">
        <v>6331</v>
      </c>
      <c r="E405" s="6" t="n">
        <v>1931</v>
      </c>
      <c r="F405" s="5" t="n">
        <f aca="false">IF(OR(D405="",D405=0),"",B405/D405)</f>
        <v>2416.67982941084</v>
      </c>
    </row>
    <row r="406" customFormat="false" ht="15" hidden="false" customHeight="false" outlineLevel="0" collapsed="false">
      <c r="A406" s="4" t="n">
        <v>46282</v>
      </c>
      <c r="B406" s="5" t="n">
        <v>10250000</v>
      </c>
      <c r="C406" s="6" t="s">
        <v>398</v>
      </c>
      <c r="D406" s="7" t="n">
        <v>3000</v>
      </c>
      <c r="E406" s="6" t="n">
        <v>1842</v>
      </c>
      <c r="F406" s="5" t="n">
        <f aca="false">IF(OR(D406="",D406=0),"",B406/D406)</f>
        <v>3416.66666666667</v>
      </c>
    </row>
    <row r="407" customFormat="false" ht="15" hidden="false" customHeight="false" outlineLevel="0" collapsed="false">
      <c r="A407" s="4" t="n">
        <v>46282</v>
      </c>
      <c r="B407" s="5" t="n">
        <v>8999728</v>
      </c>
      <c r="C407" s="6" t="s">
        <v>399</v>
      </c>
      <c r="D407" s="7" t="n">
        <v>8724</v>
      </c>
      <c r="E407" s="6" t="n">
        <v>1924</v>
      </c>
      <c r="F407" s="5" t="n">
        <f aca="false">IF(OR(D407="",D407=0),"",B407/D407)</f>
        <v>1031.60568546538</v>
      </c>
    </row>
    <row r="408" customFormat="false" ht="15" hidden="false" customHeight="false" outlineLevel="0" collapsed="false">
      <c r="A408" s="4" t="n">
        <v>46282</v>
      </c>
      <c r="B408" s="5" t="n">
        <v>1860000</v>
      </c>
      <c r="C408" s="6" t="s">
        <v>400</v>
      </c>
      <c r="D408" s="7" t="n">
        <v>4916</v>
      </c>
      <c r="E408" s="6" t="n">
        <v>1931</v>
      </c>
      <c r="F408" s="5" t="n">
        <f aca="false">IF(OR(D408="",D408=0),"",B408/D408)</f>
        <v>378.356387306753</v>
      </c>
    </row>
    <row r="409" customFormat="false" ht="15" hidden="false" customHeight="false" outlineLevel="0" collapsed="false">
      <c r="A409" s="4" t="n">
        <v>46283</v>
      </c>
      <c r="B409" s="5" t="n">
        <v>27500000</v>
      </c>
      <c r="C409" s="6" t="s">
        <v>401</v>
      </c>
      <c r="D409" s="7" t="n">
        <v>296467</v>
      </c>
      <c r="E409" s="6" t="n">
        <v>2019</v>
      </c>
      <c r="F409" s="5" t="n">
        <f aca="false">IF(OR(D409="",D409=0),"",B409/D409)</f>
        <v>92.7590591870259</v>
      </c>
    </row>
    <row r="410" customFormat="false" ht="15" hidden="false" customHeight="false" outlineLevel="0" collapsed="false">
      <c r="A410" s="4" t="n">
        <v>46283</v>
      </c>
      <c r="B410" s="5" t="n">
        <v>21500000</v>
      </c>
      <c r="C410" s="6" t="s">
        <v>402</v>
      </c>
      <c r="D410" s="7" t="n">
        <v>17771</v>
      </c>
      <c r="E410" s="6" t="n">
        <v>2018</v>
      </c>
      <c r="F410" s="5" t="n">
        <f aca="false">IF(OR(D410="",D410=0),"",B410/D410)</f>
        <v>1209.83625007034</v>
      </c>
    </row>
    <row r="411" customFormat="false" ht="15" hidden="false" customHeight="false" outlineLevel="0" collapsed="false">
      <c r="A411" s="4" t="n">
        <v>46283</v>
      </c>
      <c r="B411" s="5" t="n">
        <v>17600000</v>
      </c>
      <c r="C411" s="6" t="s">
        <v>403</v>
      </c>
      <c r="D411" s="7" t="n">
        <v>233706</v>
      </c>
      <c r="E411" s="6" t="n">
        <v>2016</v>
      </c>
      <c r="F411" s="5" t="n">
        <f aca="false">IF(OR(D411="",D411=0),"",B411/D411)</f>
        <v>75.3082933258025</v>
      </c>
    </row>
    <row r="412" customFormat="false" ht="15" hidden="false" customHeight="false" outlineLevel="0" collapsed="false">
      <c r="A412" s="4" t="n">
        <v>46283</v>
      </c>
      <c r="B412" s="5" t="n">
        <v>12000000</v>
      </c>
      <c r="C412" s="6" t="s">
        <v>404</v>
      </c>
      <c r="D412" s="7" t="n">
        <v>4750</v>
      </c>
      <c r="E412" s="6" t="n">
        <v>1931</v>
      </c>
      <c r="F412" s="5" t="n">
        <f aca="false">IF(OR(D412="",D412=0),"",B412/D412)</f>
        <v>2526.31578947368</v>
      </c>
    </row>
    <row r="413" customFormat="false" ht="15" hidden="false" customHeight="false" outlineLevel="0" collapsed="false">
      <c r="A413" s="4" t="n">
        <v>46286</v>
      </c>
      <c r="B413" s="5" t="n">
        <v>17067107</v>
      </c>
      <c r="C413" s="6" t="s">
        <v>15</v>
      </c>
      <c r="D413" s="7" t="n">
        <v>469906</v>
      </c>
      <c r="E413" s="6" t="n">
        <v>2019</v>
      </c>
      <c r="F413" s="5" t="n">
        <f aca="false">IF(OR(D413="",D413=0),"",B413/D413)</f>
        <v>36.320257668555</v>
      </c>
    </row>
    <row r="414" customFormat="false" ht="15" hidden="false" customHeight="false" outlineLevel="0" collapsed="false">
      <c r="A414" s="4" t="n">
        <v>46286</v>
      </c>
      <c r="B414" s="5" t="n">
        <v>15213425</v>
      </c>
      <c r="C414" s="6" t="s">
        <v>309</v>
      </c>
      <c r="D414" s="7" t="n">
        <v>878615</v>
      </c>
      <c r="E414" s="6" t="n">
        <v>2013</v>
      </c>
      <c r="F414" s="5" t="n">
        <f aca="false">IF(OR(D414="",D414=0),"",B414/D414)</f>
        <v>17.3152347729096</v>
      </c>
    </row>
    <row r="415" customFormat="false" ht="15" hidden="false" customHeight="false" outlineLevel="0" collapsed="false">
      <c r="A415" s="4" t="n">
        <v>46287</v>
      </c>
      <c r="B415" s="5" t="n">
        <v>25675000</v>
      </c>
      <c r="C415" s="6" t="s">
        <v>405</v>
      </c>
      <c r="D415" s="7" t="n">
        <v>382155</v>
      </c>
      <c r="E415" s="6" t="n">
        <v>2023</v>
      </c>
      <c r="F415" s="5" t="n">
        <f aca="false">IF(OR(D415="",D415=0),"",B415/D415)</f>
        <v>67.1847810443407</v>
      </c>
    </row>
    <row r="416" customFormat="false" ht="15" hidden="false" customHeight="false" outlineLevel="0" collapsed="false">
      <c r="A416" s="4" t="n">
        <v>46287</v>
      </c>
      <c r="B416" s="5" t="n">
        <v>9600000</v>
      </c>
      <c r="C416" s="6" t="s">
        <v>406</v>
      </c>
      <c r="D416" s="7" t="n">
        <v>19600</v>
      </c>
      <c r="E416" s="6" t="n">
        <v>1929</v>
      </c>
      <c r="F416" s="5" t="n">
        <f aca="false">IF(OR(D416="",D416=0),"",B416/D416)</f>
        <v>489.795918367347</v>
      </c>
    </row>
    <row r="417" customFormat="false" ht="15" hidden="false" customHeight="false" outlineLevel="0" collapsed="false">
      <c r="A417" s="4" t="n">
        <v>46288</v>
      </c>
      <c r="B417" s="5" t="n">
        <v>26850000</v>
      </c>
      <c r="C417" s="6" t="s">
        <v>407</v>
      </c>
      <c r="D417" s="7" t="n">
        <v>26280</v>
      </c>
      <c r="E417" s="6" t="n">
        <v>1961</v>
      </c>
      <c r="F417" s="5" t="n">
        <f aca="false">IF(OR(D417="",D417=0),"",B417/D417)</f>
        <v>1021.6894977169</v>
      </c>
    </row>
    <row r="418" customFormat="false" ht="15" hidden="false" customHeight="false" outlineLevel="0" collapsed="false">
      <c r="A418" s="4" t="n">
        <v>46289</v>
      </c>
      <c r="B418" s="5" t="n">
        <v>5000000</v>
      </c>
      <c r="C418" s="6" t="s">
        <v>408</v>
      </c>
      <c r="D418" s="7" t="n">
        <v>12000</v>
      </c>
      <c r="E418" s="6" t="n">
        <v>1939</v>
      </c>
      <c r="F418" s="5" t="n">
        <f aca="false">IF(OR(D418="",D418=0),"",B418/D418)</f>
        <v>416.666666666667</v>
      </c>
    </row>
    <row r="419" customFormat="false" ht="15" hidden="false" customHeight="false" outlineLevel="0" collapsed="false">
      <c r="A419" s="4" t="n">
        <v>46290</v>
      </c>
      <c r="B419" s="5" t="n">
        <v>14850000</v>
      </c>
      <c r="C419" s="6" t="s">
        <v>403</v>
      </c>
      <c r="D419" s="7" t="n">
        <v>233706</v>
      </c>
      <c r="E419" s="6" t="n">
        <v>2016</v>
      </c>
      <c r="F419" s="5" t="n">
        <f aca="false">IF(OR(D419="",D419=0),"",B419/D419)</f>
        <v>63.5413724936459</v>
      </c>
    </row>
    <row r="420" customFormat="false" ht="15" hidden="false" customHeight="false" outlineLevel="0" collapsed="false">
      <c r="A420" s="4" t="n">
        <v>46290</v>
      </c>
      <c r="B420" s="5" t="n">
        <v>10600000</v>
      </c>
      <c r="C420" s="6" t="s">
        <v>409</v>
      </c>
      <c r="D420" s="7" t="n">
        <v>240067</v>
      </c>
      <c r="E420" s="6" t="n">
        <v>2017</v>
      </c>
      <c r="F420" s="5" t="n">
        <f aca="false">IF(OR(D420="",D420=0),"",B420/D420)</f>
        <v>44.1543402466811</v>
      </c>
    </row>
    <row r="421" customFormat="false" ht="15" hidden="false" customHeight="false" outlineLevel="0" collapsed="false">
      <c r="A421" s="4" t="n">
        <v>46290</v>
      </c>
      <c r="B421" s="5" t="n">
        <v>7000000</v>
      </c>
      <c r="C421" s="6" t="s">
        <v>410</v>
      </c>
      <c r="D421" s="7" t="n">
        <v>14164</v>
      </c>
      <c r="E421" s="6" t="n">
        <v>2019</v>
      </c>
      <c r="F421" s="5" t="n">
        <f aca="false">IF(OR(D421="",D421=0),"",B421/D421)</f>
        <v>494.210674950579</v>
      </c>
    </row>
    <row r="422" customFormat="false" ht="15" hidden="false" customHeight="false" outlineLevel="0" collapsed="false">
      <c r="A422" s="4" t="n">
        <v>46294</v>
      </c>
      <c r="B422" s="5" t="n">
        <v>9045737.5</v>
      </c>
      <c r="C422" s="6" t="s">
        <v>411</v>
      </c>
      <c r="D422" s="7" t="n">
        <v>81197</v>
      </c>
      <c r="E422" s="6" t="n">
        <v>2016</v>
      </c>
      <c r="F422" s="5" t="n">
        <f aca="false">IF(OR(D422="",D422=0),"",B422/D422)</f>
        <v>111.404824069855</v>
      </c>
    </row>
    <row r="423" customFormat="false" ht="15" hidden="false" customHeight="false" outlineLevel="0" collapsed="false">
      <c r="A423" s="4" t="n">
        <v>46294</v>
      </c>
      <c r="B423" s="5" t="n">
        <v>4875000</v>
      </c>
      <c r="C423" s="6" t="s">
        <v>412</v>
      </c>
      <c r="D423" s="7" t="n">
        <v>11235</v>
      </c>
      <c r="E423" s="6" t="n">
        <v>1938</v>
      </c>
      <c r="F423" s="5" t="n">
        <f aca="false">IF(OR(D423="",D423=0),"",B423/D423)</f>
        <v>433.911882510013</v>
      </c>
    </row>
    <row r="424" customFormat="false" ht="15" hidden="false" customHeight="false" outlineLevel="0" collapsed="false">
      <c r="A424" s="4" t="n">
        <v>46295</v>
      </c>
      <c r="B424" s="5" t="n">
        <v>23000000</v>
      </c>
      <c r="C424" s="6" t="s">
        <v>413</v>
      </c>
      <c r="D424" s="7" t="n">
        <v>59415</v>
      </c>
      <c r="E424" s="6" t="n">
        <v>2023</v>
      </c>
      <c r="F424" s="5" t="n">
        <f aca="false">IF(OR(D424="",D424=0),"",B424/D424)</f>
        <v>387.107632752672</v>
      </c>
    </row>
    <row r="425" customFormat="false" ht="15" hidden="false" customHeight="false" outlineLevel="0" collapsed="false">
      <c r="A425" s="4" t="n">
        <v>46295</v>
      </c>
      <c r="B425" s="5" t="n">
        <v>8222000</v>
      </c>
      <c r="C425" s="6" t="s">
        <v>414</v>
      </c>
      <c r="D425" s="7" t="n">
        <v>13895</v>
      </c>
      <c r="E425" s="6" t="n">
        <v>1955</v>
      </c>
      <c r="F425" s="5" t="n">
        <f aca="false">IF(OR(D425="",D425=0),"",B425/D425)</f>
        <v>591.723641597697</v>
      </c>
    </row>
    <row r="426" customFormat="false" ht="15" hidden="false" customHeight="false" outlineLevel="0" collapsed="false">
      <c r="A426" s="4" t="n">
        <v>46295</v>
      </c>
      <c r="B426" s="5" t="n">
        <v>7350000</v>
      </c>
      <c r="C426" s="6" t="s">
        <v>415</v>
      </c>
      <c r="D426" s="7" t="n">
        <v>88056</v>
      </c>
      <c r="E426" s="6" t="n">
        <v>1926</v>
      </c>
      <c r="F426" s="5" t="n">
        <f aca="false">IF(OR(D426="",D426=0),"",B426/D426)</f>
        <v>83.469610248024</v>
      </c>
    </row>
  </sheetData>
  <autoFilter ref="A1:F426"/>
  <printOptions headings="false" gridLines="false" gridLinesSet="true" horizontalCentered="false" verticalCentered="false"/>
  <pageMargins left="0.5" right="0.5" top="0.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48:H2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3" activeCellId="1" sqref="B14:D24 G13"/>
    </sheetView>
  </sheetViews>
  <sheetFormatPr defaultColWidth="8.59765625" defaultRowHeight="15" customHeight="false"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14"/>
    <col collapsed="false" customWidth="true" hidden="false" outlineLevel="0" max="4" min="4" style="0" width="16"/>
    <col collapsed="false" customWidth="true" hidden="false" outlineLevel="0" max="5" min="5" style="0" width="14"/>
    <col collapsed="false" customWidth="true" hidden="false" outlineLevel="0" max="6" min="6" style="0" width="16"/>
    <col collapsed="false" customWidth="true" hidden="false" outlineLevel="0" max="7" min="7" style="0" width="14"/>
    <col collapsed="false" customWidth="true" hidden="false" outlineLevel="0" max="8" min="8" style="0" width="16"/>
  </cols>
  <sheetData>
    <row r="48" customFormat="false" ht="15" hidden="false" customHeight="false" outlineLevel="0" collapsed="false">
      <c r="A48" s="3" t="s">
        <v>416</v>
      </c>
      <c r="B48" s="3" t="s">
        <v>417</v>
      </c>
      <c r="C48" s="3" t="s">
        <v>416</v>
      </c>
      <c r="D48" s="3" t="s">
        <v>418</v>
      </c>
      <c r="E48" s="3" t="s">
        <v>416</v>
      </c>
      <c r="F48" s="3" t="s">
        <v>419</v>
      </c>
      <c r="G48" s="3" t="s">
        <v>416</v>
      </c>
      <c r="H48" s="3" t="s">
        <v>420</v>
      </c>
    </row>
    <row r="49" customFormat="false" ht="15" hidden="false" customHeight="false" outlineLevel="0" collapsed="false">
      <c r="A49" s="4" t="n">
        <f aca="false">'2026 transactions'!A14</f>
        <v>46035</v>
      </c>
      <c r="B49" s="5" t="n">
        <f aca="false">'2026 transactions'!F14</f>
        <v>985.767396447482</v>
      </c>
      <c r="C49" s="4" t="n">
        <f aca="false">'2026 transactions'!A6</f>
        <v>46030</v>
      </c>
      <c r="D49" s="5" t="n">
        <f aca="false">'2026 transactions'!F6</f>
        <v>1061.39655868327</v>
      </c>
      <c r="E49" s="4" t="n">
        <f aca="false">'2026 transactions'!A2</f>
        <v>46028</v>
      </c>
      <c r="F49" s="5" t="n">
        <f aca="false">'2026 transactions'!F2</f>
        <v>723.684210526316</v>
      </c>
      <c r="G49" s="4" t="n">
        <f aca="false">'2026 transactions'!A3</f>
        <v>46028</v>
      </c>
      <c r="H49" s="5" t="n">
        <f aca="false">'2026 transactions'!F3</f>
        <v>243.926581634096</v>
      </c>
    </row>
    <row r="50" customFormat="false" ht="15" hidden="false" customHeight="false" outlineLevel="0" collapsed="false">
      <c r="A50" s="4" t="n">
        <f aca="false">'2026 transactions'!A21</f>
        <v>46043</v>
      </c>
      <c r="B50" s="5" t="n">
        <f aca="false">'2026 transactions'!F21</f>
        <v>997.414134348851</v>
      </c>
      <c r="C50" s="4" t="n">
        <f aca="false">'2026 transactions'!A7</f>
        <v>46031</v>
      </c>
      <c r="D50" s="5" t="n">
        <f aca="false">'2026 transactions'!F7</f>
        <v>118.396285640107</v>
      </c>
      <c r="E50" s="4" t="n">
        <f aca="false">'2026 transactions'!A4</f>
        <v>46028</v>
      </c>
      <c r="F50" s="5" t="n">
        <f aca="false">'2026 transactions'!F4</f>
        <v>272.209849047266</v>
      </c>
      <c r="G50" s="4" t="n">
        <f aca="false">'2026 transactions'!A5</f>
        <v>46029</v>
      </c>
      <c r="H50" s="5" t="n">
        <f aca="false">'2026 transactions'!F5</f>
        <v>920.030375606052</v>
      </c>
    </row>
    <row r="51" customFormat="false" ht="15" hidden="false" customHeight="false" outlineLevel="0" collapsed="false">
      <c r="A51" s="4" t="n">
        <f aca="false">'2026 transactions'!A30</f>
        <v>46048</v>
      </c>
      <c r="B51" s="5" t="n">
        <f aca="false">'2026 transactions'!F30</f>
        <v>486.690114269448</v>
      </c>
      <c r="C51" s="4" t="n">
        <f aca="false">'2026 transactions'!A11</f>
        <v>46035</v>
      </c>
      <c r="D51" s="5" t="n">
        <f aca="false">'2026 transactions'!F11</f>
        <v>187.081500955518</v>
      </c>
      <c r="E51" s="4" t="n">
        <f aca="false">'2026 transactions'!A8</f>
        <v>46031</v>
      </c>
      <c r="F51" s="5" t="n">
        <f aca="false">'2026 transactions'!F8</f>
        <v>210.283479819511</v>
      </c>
      <c r="G51" s="4" t="n">
        <f aca="false">'2026 transactions'!A9</f>
        <v>46034</v>
      </c>
      <c r="H51" s="5" t="n">
        <f aca="false">'2026 transactions'!F9</f>
        <v>1897.60114572145</v>
      </c>
    </row>
    <row r="52" customFormat="false" ht="15" hidden="false" customHeight="false" outlineLevel="0" collapsed="false">
      <c r="A52" s="4" t="n">
        <f aca="false">'2026 transactions'!A32</f>
        <v>46048</v>
      </c>
      <c r="B52" s="5" t="n">
        <f aca="false">'2026 transactions'!F32</f>
        <v>805.02926140247</v>
      </c>
      <c r="C52" s="4" t="n">
        <f aca="false">'2026 transactions'!A13</f>
        <v>46035</v>
      </c>
      <c r="D52" s="5" t="n">
        <f aca="false">'2026 transactions'!F13</f>
        <v>68.9206537354426</v>
      </c>
      <c r="E52" s="4" t="n">
        <f aca="false">'2026 transactions'!A12</f>
        <v>46035</v>
      </c>
      <c r="F52" s="5" t="n">
        <f aca="false">'2026 transactions'!F12</f>
        <v>497.415906725698</v>
      </c>
      <c r="G52" s="4" t="n">
        <f aca="false">'2026 transactions'!A15</f>
        <v>46035</v>
      </c>
      <c r="H52" s="5" t="n">
        <f aca="false">'2026 transactions'!F15</f>
        <v>151.332608504011</v>
      </c>
    </row>
    <row r="53" customFormat="false" ht="15" hidden="false" customHeight="false" outlineLevel="0" collapsed="false">
      <c r="A53" s="4" t="n">
        <f aca="false">'2026 transactions'!A33</f>
        <v>46048</v>
      </c>
      <c r="B53" s="5" t="n">
        <f aca="false">'2026 transactions'!F33</f>
        <v>547.138252509982</v>
      </c>
      <c r="C53" s="4" t="n">
        <f aca="false">'2026 transactions'!A19</f>
        <v>46038</v>
      </c>
      <c r="D53" s="5" t="n">
        <f aca="false">'2026 transactions'!F19</f>
        <v>24.1200923699632</v>
      </c>
      <c r="E53" s="4" t="n">
        <f aca="false">'2026 transactions'!A22</f>
        <v>46043</v>
      </c>
      <c r="F53" s="5" t="n">
        <f aca="false">'2026 transactions'!F22</f>
        <v>973.520249221184</v>
      </c>
      <c r="G53" s="4" t="n">
        <f aca="false">'2026 transactions'!A16</f>
        <v>46035</v>
      </c>
      <c r="H53" s="5" t="n">
        <f aca="false">'2026 transactions'!F16</f>
        <v>127.748691099476</v>
      </c>
    </row>
    <row r="54" customFormat="false" ht="15" hidden="false" customHeight="false" outlineLevel="0" collapsed="false">
      <c r="A54" s="4" t="n">
        <f aca="false">'2026 transactions'!A35</f>
        <v>46048</v>
      </c>
      <c r="B54" s="5" t="n">
        <f aca="false">'2026 transactions'!F35</f>
        <v>703.043672101591</v>
      </c>
      <c r="C54" s="4" t="n">
        <f aca="false">'2026 transactions'!A29</f>
        <v>46048</v>
      </c>
      <c r="D54" s="5" t="n">
        <f aca="false">'2026 transactions'!F29</f>
        <v>866.036278372234</v>
      </c>
      <c r="E54" s="4" t="n">
        <f aca="false">'2026 transactions'!A23</f>
        <v>46043</v>
      </c>
      <c r="F54" s="5" t="n">
        <f aca="false">'2026 transactions'!F23</f>
        <v>248.911014312383</v>
      </c>
      <c r="G54" s="4" t="n">
        <f aca="false">'2026 transactions'!A18</f>
        <v>46037</v>
      </c>
      <c r="H54" s="5" t="n">
        <f aca="false">'2026 transactions'!F18</f>
        <v>837.512014653343</v>
      </c>
    </row>
    <row r="55" customFormat="false" ht="15" hidden="false" customHeight="false" outlineLevel="0" collapsed="false">
      <c r="A55" s="4" t="n">
        <f aca="false">'2026 transactions'!A36</f>
        <v>46048</v>
      </c>
      <c r="B55" s="5" t="n">
        <f aca="false">'2026 transactions'!F36</f>
        <v>741.37278899178</v>
      </c>
      <c r="C55" s="4" t="n">
        <f aca="false">'2026 transactions'!A31</f>
        <v>46048</v>
      </c>
      <c r="D55" s="5" t="n">
        <f aca="false">'2026 transactions'!F31</f>
        <v>634.913423542091</v>
      </c>
      <c r="E55" s="4" t="n">
        <f aca="false">'2026 transactions'!A38</f>
        <v>46048</v>
      </c>
      <c r="F55" s="5" t="n">
        <f aca="false">'2026 transactions'!F38</f>
        <v>487.008695176638</v>
      </c>
      <c r="G55" s="4" t="n">
        <f aca="false">'2026 transactions'!A20</f>
        <v>46042</v>
      </c>
      <c r="H55" s="5" t="n">
        <f aca="false">'2026 transactions'!F20</f>
        <v>1481.48148148148</v>
      </c>
    </row>
    <row r="56" customFormat="false" ht="15" hidden="false" customHeight="false" outlineLevel="0" collapsed="false">
      <c r="A56" s="4" t="n">
        <f aca="false">'2026 transactions'!A55</f>
        <v>46065</v>
      </c>
      <c r="B56" s="5" t="n">
        <f aca="false">'2026 transactions'!F55</f>
        <v>48.3799188007495</v>
      </c>
      <c r="C56" s="4" t="n">
        <f aca="false">'2026 transactions'!A34</f>
        <v>46048</v>
      </c>
      <c r="D56" s="5" t="n">
        <f aca="false">'2026 transactions'!F34</f>
        <v>679.154078875313</v>
      </c>
      <c r="E56" s="4" t="n">
        <f aca="false">'2026 transactions'!A41</f>
        <v>46050</v>
      </c>
      <c r="F56" s="5" t="n">
        <f aca="false">'2026 transactions'!F41</f>
        <v>916.95529996079</v>
      </c>
      <c r="G56" s="4" t="n">
        <f aca="false">'2026 transactions'!A24</f>
        <v>46043</v>
      </c>
      <c r="H56" s="5" t="n">
        <f aca="false">'2026 transactions'!F24</f>
        <v>263.63486571099</v>
      </c>
    </row>
    <row r="57" customFormat="false" ht="15" hidden="false" customHeight="false" outlineLevel="0" collapsed="false">
      <c r="A57" s="4" t="n">
        <f aca="false">'2026 transactions'!A71</f>
        <v>46072</v>
      </c>
      <c r="B57" s="5" t="n">
        <f aca="false">'2026 transactions'!F71</f>
        <v>363.794535173396</v>
      </c>
      <c r="C57" s="4" t="n">
        <f aca="false">'2026 transactions'!A37</f>
        <v>46048</v>
      </c>
      <c r="D57" s="5" t="n">
        <f aca="false">'2026 transactions'!F37</f>
        <v>487.22669529144</v>
      </c>
      <c r="E57" s="4" t="n">
        <f aca="false">'2026 transactions'!A43</f>
        <v>46051</v>
      </c>
      <c r="F57" s="5" t="n">
        <f aca="false">'2026 transactions'!F43</f>
        <v>1411.96013289037</v>
      </c>
      <c r="G57" s="4" t="n">
        <f aca="false">'2026 transactions'!A25</f>
        <v>46044</v>
      </c>
      <c r="H57" s="5" t="n">
        <f aca="false">'2026 transactions'!F25</f>
        <v>525.997417509287</v>
      </c>
    </row>
    <row r="58" customFormat="false" ht="15" hidden="false" customHeight="false" outlineLevel="0" collapsed="false">
      <c r="A58" s="4" t="n">
        <f aca="false">'2026 transactions'!A94</f>
        <v>46085</v>
      </c>
      <c r="B58" s="5" t="n">
        <f aca="false">'2026 transactions'!F94</f>
        <v>197.719553847796</v>
      </c>
      <c r="C58" s="4" t="n">
        <f aca="false">'2026 transactions'!A39</f>
        <v>46048</v>
      </c>
      <c r="D58" s="5" t="n">
        <f aca="false">'2026 transactions'!F39</f>
        <v>693.822051757566</v>
      </c>
      <c r="E58" s="4" t="n">
        <f aca="false">'2026 transactions'!A46</f>
        <v>46055</v>
      </c>
      <c r="F58" s="5" t="n">
        <f aca="false">'2026 transactions'!F46</f>
        <v>595.817307692308</v>
      </c>
      <c r="G58" s="4" t="n">
        <f aca="false">'2026 transactions'!A26</f>
        <v>46044</v>
      </c>
      <c r="H58" s="5" t="n">
        <f aca="false">'2026 transactions'!F26</f>
        <v>2710.41369472183</v>
      </c>
    </row>
    <row r="59" customFormat="false" ht="15" hidden="false" customHeight="false" outlineLevel="0" collapsed="false">
      <c r="A59" s="4" t="n">
        <f aca="false">'2026 transactions'!A99</f>
        <v>46086</v>
      </c>
      <c r="B59" s="5" t="n">
        <f aca="false">'2026 transactions'!F99</f>
        <v>227.638931742603</v>
      </c>
      <c r="C59" s="4" t="n">
        <f aca="false">'2026 transactions'!A44</f>
        <v>46055</v>
      </c>
      <c r="D59" s="5" t="n">
        <f aca="false">'2026 transactions'!F44</f>
        <v>56.1028488836484</v>
      </c>
      <c r="E59" s="4" t="n">
        <f aca="false">'2026 transactions'!A77</f>
        <v>46077</v>
      </c>
      <c r="F59" s="5" t="n">
        <f aca="false">'2026 transactions'!F77</f>
        <v>2147.88461538462</v>
      </c>
      <c r="G59" s="4" t="n">
        <f aca="false">'2026 transactions'!A28</f>
        <v>46044</v>
      </c>
      <c r="H59" s="5" t="n">
        <f aca="false">'2026 transactions'!F28</f>
        <v>188.976377952756</v>
      </c>
    </row>
    <row r="60" customFormat="false" ht="15" hidden="false" customHeight="false" outlineLevel="0" collapsed="false">
      <c r="A60" s="4" t="n">
        <f aca="false">'2026 transactions'!A133</f>
        <v>46111</v>
      </c>
      <c r="B60" s="5" t="n">
        <f aca="false">'2026 transactions'!F133</f>
        <v>2974.10008779631</v>
      </c>
      <c r="C60" s="4" t="n">
        <f aca="false">'2026 transactions'!A51</f>
        <v>46063</v>
      </c>
      <c r="D60" s="5" t="n">
        <f aca="false">'2026 transactions'!F51</f>
        <v>93.9202698852534</v>
      </c>
      <c r="E60" s="4" t="n">
        <f aca="false">'2026 transactions'!A79</f>
        <v>46078</v>
      </c>
      <c r="F60" s="5" t="n">
        <f aca="false">'2026 transactions'!F79</f>
        <v>294.117647058824</v>
      </c>
      <c r="G60" s="4" t="n">
        <f aca="false">'2026 transactions'!A40</f>
        <v>46049</v>
      </c>
      <c r="H60" s="5" t="n">
        <f aca="false">'2026 transactions'!F40</f>
        <v>262.307204204909</v>
      </c>
    </row>
    <row r="61" customFormat="false" ht="15" hidden="false" customHeight="false" outlineLevel="0" collapsed="false">
      <c r="A61" s="4" t="n">
        <f aca="false">'2026 transactions'!A138</f>
        <v>46115</v>
      </c>
      <c r="B61" s="5" t="n">
        <f aca="false">'2026 transactions'!F138</f>
        <v>627.71212576076</v>
      </c>
      <c r="C61" s="4" t="n">
        <f aca="false">'2026 transactions'!A52</f>
        <v>46064</v>
      </c>
      <c r="D61" s="5" t="n">
        <f aca="false">'2026 transactions'!F52</f>
        <v>35.6147468524553</v>
      </c>
      <c r="E61" s="4" t="n">
        <f aca="false">'2026 transactions'!A81</f>
        <v>46079</v>
      </c>
      <c r="F61" s="5" t="n">
        <f aca="false">'2026 transactions'!F81</f>
        <v>168.666066479663</v>
      </c>
      <c r="G61" s="4" t="n">
        <f aca="false">'2026 transactions'!A45</f>
        <v>46055</v>
      </c>
      <c r="H61" s="5" t="n">
        <f aca="false">'2026 transactions'!F45</f>
        <v>1316.34561920809</v>
      </c>
    </row>
    <row r="62" customFormat="false" ht="15" hidden="false" customHeight="false" outlineLevel="0" collapsed="false">
      <c r="A62" s="4" t="n">
        <f aca="false">'2026 transactions'!A159</f>
        <v>46129</v>
      </c>
      <c r="B62" s="5" t="n">
        <f aca="false">'2026 transactions'!F159</f>
        <v>1469.56116866488</v>
      </c>
      <c r="C62" s="4" t="n">
        <f aca="false">'2026 transactions'!A58</f>
        <v>46066</v>
      </c>
      <c r="D62" s="5" t="n">
        <f aca="false">'2026 transactions'!F58</f>
        <v>371.371795289442</v>
      </c>
      <c r="E62" s="4" t="n">
        <f aca="false">'2026 transactions'!A88</f>
        <v>46080</v>
      </c>
      <c r="F62" s="5" t="n">
        <f aca="false">'2026 transactions'!F88</f>
        <v>1067.64253981559</v>
      </c>
      <c r="G62" s="4" t="n">
        <f aca="false">'2026 transactions'!A47</f>
        <v>46058</v>
      </c>
      <c r="H62" s="5" t="n">
        <f aca="false">'2026 transactions'!F47</f>
        <v>245.859980120403</v>
      </c>
    </row>
    <row r="63" customFormat="false" ht="15" hidden="false" customHeight="false" outlineLevel="0" collapsed="false">
      <c r="A63" s="4" t="n">
        <f aca="false">'2026 transactions'!A174</f>
        <v>46139</v>
      </c>
      <c r="B63" s="5" t="n">
        <f aca="false">'2026 transactions'!F174</f>
        <v>811.088295687885</v>
      </c>
      <c r="C63" s="4" t="n">
        <f aca="false">'2026 transactions'!A61</f>
        <v>46070</v>
      </c>
      <c r="D63" s="5" t="n">
        <f aca="false">'2026 transactions'!F61</f>
        <v>89.8065310730597</v>
      </c>
      <c r="E63" s="4" t="n">
        <f aca="false">'2026 transactions'!A98</f>
        <v>46086</v>
      </c>
      <c r="F63" s="5" t="n">
        <f aca="false">'2026 transactions'!F98</f>
        <v>513.550896317498</v>
      </c>
      <c r="G63" s="4" t="n">
        <f aca="false">'2026 transactions'!A48</f>
        <v>46062</v>
      </c>
      <c r="H63" s="5" t="n">
        <f aca="false">'2026 transactions'!F48</f>
        <v>418.282658477504</v>
      </c>
    </row>
    <row r="64" customFormat="false" ht="15" hidden="false" customHeight="false" outlineLevel="0" collapsed="false">
      <c r="A64" s="4" t="n">
        <f aca="false">'2026 transactions'!A186</f>
        <v>46148</v>
      </c>
      <c r="B64" s="5" t="n">
        <f aca="false">'2026 transactions'!F186</f>
        <v>343.915343915344</v>
      </c>
      <c r="C64" s="4" t="n">
        <f aca="false">'2026 transactions'!A68</f>
        <v>46071</v>
      </c>
      <c r="D64" s="5" t="n">
        <f aca="false">'2026 transactions'!F68</f>
        <v>51.5998146437798</v>
      </c>
      <c r="E64" s="4" t="n">
        <f aca="false">'2026 transactions'!A100</f>
        <v>46090</v>
      </c>
      <c r="F64" s="5" t="n">
        <f aca="false">'2026 transactions'!F100</f>
        <v>1354.89100580141</v>
      </c>
      <c r="G64" s="4" t="n">
        <f aca="false">'2026 transactions'!A50</f>
        <v>46063</v>
      </c>
      <c r="H64" s="5" t="n">
        <f aca="false">'2026 transactions'!F50</f>
        <v>98.4201111655156</v>
      </c>
    </row>
    <row r="65" customFormat="false" ht="15" hidden="false" customHeight="false" outlineLevel="0" collapsed="false">
      <c r="A65" s="4" t="n">
        <f aca="false">'2026 transactions'!A197</f>
        <v>46157</v>
      </c>
      <c r="B65" s="5" t="n">
        <f aca="false">'2026 transactions'!F197</f>
        <v>2663.85203055891</v>
      </c>
      <c r="C65" s="4" t="n">
        <f aca="false">'2026 transactions'!A73</f>
        <v>46073</v>
      </c>
      <c r="D65" s="5" t="n">
        <f aca="false">'2026 transactions'!F73</f>
        <v>1052.63157894737</v>
      </c>
      <c r="E65" s="4" t="n">
        <f aca="false">'2026 transactions'!A107</f>
        <v>46097</v>
      </c>
      <c r="F65" s="5" t="n">
        <f aca="false">'2026 transactions'!F107</f>
        <v>260.681000276829</v>
      </c>
      <c r="G65" s="4" t="n">
        <f aca="false">'2026 transactions'!A53</f>
        <v>46064</v>
      </c>
      <c r="H65" s="5" t="n">
        <f aca="false">'2026 transactions'!F53</f>
        <v>801.666666666667</v>
      </c>
    </row>
    <row r="66" customFormat="false" ht="15" hidden="false" customHeight="false" outlineLevel="0" collapsed="false">
      <c r="A66" s="4" t="n">
        <f aca="false">'2026 transactions'!A229</f>
        <v>46177</v>
      </c>
      <c r="B66" s="5" t="n">
        <f aca="false">'2026 transactions'!F229</f>
        <v>847.782908032197</v>
      </c>
      <c r="C66" s="4" t="n">
        <f aca="false">'2026 transactions'!A89</f>
        <v>46080</v>
      </c>
      <c r="D66" s="5" t="n">
        <f aca="false">'2026 transactions'!F89</f>
        <v>5281.3215550086</v>
      </c>
      <c r="E66" s="4" t="n">
        <f aca="false">'2026 transactions'!A108</f>
        <v>46098</v>
      </c>
      <c r="F66" s="5" t="n">
        <f aca="false">'2026 transactions'!F108</f>
        <v>5403.22580645161</v>
      </c>
      <c r="G66" s="4" t="n">
        <f aca="false">'2026 transactions'!A54</f>
        <v>46064</v>
      </c>
      <c r="H66" s="5" t="n">
        <f aca="false">'2026 transactions'!F54</f>
        <v>557.553956834532</v>
      </c>
    </row>
    <row r="67" customFormat="false" ht="15" hidden="false" customHeight="false" outlineLevel="0" collapsed="false">
      <c r="A67" s="4" t="n">
        <f aca="false">'2026 transactions'!A242</f>
        <v>46183</v>
      </c>
      <c r="B67" s="5" t="n">
        <f aca="false">'2026 transactions'!F242</f>
        <v>96.682764061935</v>
      </c>
      <c r="C67" s="4" t="n">
        <f aca="false">'2026 transactions'!A104</f>
        <v>46092</v>
      </c>
      <c r="D67" s="5" t="n">
        <f aca="false">'2026 transactions'!F104</f>
        <v>603.236506067741</v>
      </c>
      <c r="E67" s="4" t="n">
        <f aca="false">'2026 transactions'!A125</f>
        <v>46107</v>
      </c>
      <c r="F67" s="5" t="n">
        <f aca="false">'2026 transactions'!F125</f>
        <v>406.346749226006</v>
      </c>
      <c r="G67" s="4" t="n">
        <f aca="false">'2026 transactions'!A57</f>
        <v>46065</v>
      </c>
      <c r="H67" s="5" t="n">
        <f aca="false">'2026 transactions'!F57</f>
        <v>109.347442680776</v>
      </c>
    </row>
    <row r="68" customFormat="false" ht="15" hidden="false" customHeight="false" outlineLevel="0" collapsed="false">
      <c r="A68" s="4" t="n">
        <f aca="false">'2026 transactions'!A273</f>
        <v>46202</v>
      </c>
      <c r="B68" s="5" t="n">
        <f aca="false">'2026 transactions'!F273</f>
        <v>616.543928754924</v>
      </c>
      <c r="C68" s="4" t="n">
        <f aca="false">'2026 transactions'!A105</f>
        <v>46094</v>
      </c>
      <c r="D68" s="5" t="n">
        <f aca="false">'2026 transactions'!F105</f>
        <v>753.759784323637</v>
      </c>
      <c r="E68" s="4" t="n">
        <f aca="false">'2026 transactions'!A126</f>
        <v>46107</v>
      </c>
      <c r="F68" s="5" t="n">
        <f aca="false">'2026 transactions'!F126</f>
        <v>548.833327984081</v>
      </c>
      <c r="G68" s="4" t="n">
        <f aca="false">'2026 transactions'!A59</f>
        <v>46066</v>
      </c>
      <c r="H68" s="5" t="n">
        <f aca="false">'2026 transactions'!F59</f>
        <v>199.308062575211</v>
      </c>
    </row>
    <row r="69" customFormat="false" ht="15" hidden="false" customHeight="false" outlineLevel="0" collapsed="false">
      <c r="A69" s="4" t="n">
        <f aca="false">'2026 transactions'!A289</f>
        <v>46211</v>
      </c>
      <c r="B69" s="5" t="n">
        <f aca="false">'2026 transactions'!F289</f>
        <v>170.80990171861</v>
      </c>
      <c r="C69" s="4" t="n">
        <f aca="false">'2026 transactions'!A109</f>
        <v>46098</v>
      </c>
      <c r="D69" s="5" t="n">
        <f aca="false">'2026 transactions'!F109</f>
        <v>58.2397614499371</v>
      </c>
      <c r="E69" s="4" t="n">
        <f aca="false">'2026 transactions'!A127</f>
        <v>46107</v>
      </c>
      <c r="F69" s="5" t="n">
        <f aca="false">'2026 transactions'!F127</f>
        <v>419.230769230769</v>
      </c>
      <c r="G69" s="4" t="n">
        <f aca="false">'2026 transactions'!A60</f>
        <v>46070</v>
      </c>
      <c r="H69" s="5" t="n">
        <f aca="false">'2026 transactions'!F60</f>
        <v>998.968348945653</v>
      </c>
    </row>
    <row r="70" customFormat="false" ht="15" hidden="false" customHeight="false" outlineLevel="0" collapsed="false">
      <c r="A70" s="4" t="n">
        <f aca="false">'2026 transactions'!A296</f>
        <v>46216</v>
      </c>
      <c r="B70" s="5" t="n">
        <f aca="false">'2026 transactions'!F296</f>
        <v>943.701454371104</v>
      </c>
      <c r="C70" s="4" t="n">
        <f aca="false">'2026 transactions'!A111</f>
        <v>46100</v>
      </c>
      <c r="D70" s="5" t="n">
        <f aca="false">'2026 transactions'!F111</f>
        <v>632.992139120877</v>
      </c>
      <c r="E70" s="4" t="n">
        <f aca="false">'2026 transactions'!A128</f>
        <v>46107</v>
      </c>
      <c r="F70" s="5" t="n">
        <f aca="false">'2026 transactions'!F128</f>
        <v>678.571428571429</v>
      </c>
      <c r="G70" s="4" t="n">
        <f aca="false">'2026 transactions'!A62</f>
        <v>46070</v>
      </c>
      <c r="H70" s="5" t="n">
        <f aca="false">'2026 transactions'!F62</f>
        <v>3629.09486104642</v>
      </c>
    </row>
    <row r="71" customFormat="false" ht="15" hidden="false" customHeight="false" outlineLevel="0" collapsed="false">
      <c r="A71" s="4" t="n">
        <f aca="false">'2026 transactions'!A320</f>
        <v>46232</v>
      </c>
      <c r="B71" s="5" t="n">
        <f aca="false">'2026 transactions'!F320</f>
        <v>441.974996843036</v>
      </c>
      <c r="C71" s="4" t="n">
        <f aca="false">'2026 transactions'!A116</f>
        <v>46104</v>
      </c>
      <c r="D71" s="5" t="n">
        <f aca="false">'2026 transactions'!F116</f>
        <v>614.223665160356</v>
      </c>
      <c r="E71" s="4" t="n">
        <f aca="false">'2026 transactions'!A135</f>
        <v>46112</v>
      </c>
      <c r="F71" s="5" t="n">
        <f aca="false">'2026 transactions'!F135</f>
        <v>478.145262863274</v>
      </c>
      <c r="G71" s="4" t="n">
        <f aca="false">'2026 transactions'!A63</f>
        <v>46070</v>
      </c>
      <c r="H71" s="5" t="n">
        <f aca="false">'2026 transactions'!F63</f>
        <v>232.085871772556</v>
      </c>
    </row>
    <row r="72" customFormat="false" ht="15" hidden="false" customHeight="false" outlineLevel="0" collapsed="false">
      <c r="A72" s="4" t="n">
        <f aca="false">'2026 transactions'!A389</f>
        <v>46274</v>
      </c>
      <c r="B72" s="5" t="n">
        <f aca="false">'2026 transactions'!F389</f>
        <v>833.032988106329</v>
      </c>
      <c r="C72" s="4" t="n">
        <f aca="false">'2026 transactions'!A132</f>
        <v>46108</v>
      </c>
      <c r="D72" s="5" t="n">
        <f aca="false">'2026 transactions'!F132</f>
        <v>91.2638233955394</v>
      </c>
      <c r="E72" s="4" t="n">
        <f aca="false">'2026 transactions'!A139</f>
        <v>46118</v>
      </c>
      <c r="F72" s="5" t="n">
        <f aca="false">'2026 transactions'!F139</f>
        <v>1294.60432725217</v>
      </c>
      <c r="G72" s="4" t="n">
        <f aca="false">'2026 transactions'!A64</f>
        <v>46070</v>
      </c>
      <c r="H72" s="5" t="n">
        <f aca="false">'2026 transactions'!F64</f>
        <v>306.666666666667</v>
      </c>
    </row>
    <row r="73" customFormat="false" ht="15" hidden="false" customHeight="false" outlineLevel="0" collapsed="false">
      <c r="A73" s="4" t="n">
        <f aca="false">'2026 transactions'!A399</f>
        <v>46281</v>
      </c>
      <c r="B73" s="5" t="n">
        <f aca="false">'2026 transactions'!F399</f>
        <v>412.09022252872</v>
      </c>
      <c r="C73" s="4" t="n">
        <f aca="false">'2026 transactions'!A144</f>
        <v>46120</v>
      </c>
      <c r="D73" s="5" t="n">
        <f aca="false">'2026 transactions'!F144</f>
        <v>587.780355761794</v>
      </c>
      <c r="E73" s="4" t="n">
        <f aca="false">'2026 transactions'!A140</f>
        <v>46118</v>
      </c>
      <c r="F73" s="5" t="n">
        <f aca="false">'2026 transactions'!F140</f>
        <v>517.841730900866</v>
      </c>
      <c r="G73" s="4" t="n">
        <f aca="false">'2026 transactions'!A65</f>
        <v>46071</v>
      </c>
      <c r="H73" s="5" t="n">
        <f aca="false">'2026 transactions'!F65</f>
        <v>566.051610734737</v>
      </c>
    </row>
    <row r="74" customFormat="false" ht="15" hidden="false" customHeight="false" outlineLevel="0" collapsed="false">
      <c r="A74" s="4" t="n">
        <f aca="false">'2026 transactions'!A415</f>
        <v>46287</v>
      </c>
      <c r="B74" s="5" t="n">
        <f aca="false">'2026 transactions'!F415</f>
        <v>67.1847810443407</v>
      </c>
      <c r="C74" s="4" t="n">
        <f aca="false">'2026 transactions'!A146</f>
        <v>46121</v>
      </c>
      <c r="D74" s="5" t="n">
        <f aca="false">'2026 transactions'!F146</f>
        <v>508.783670737828</v>
      </c>
      <c r="E74" s="4" t="n">
        <f aca="false">'2026 transactions'!A154</f>
        <v>46128</v>
      </c>
      <c r="F74" s="5" t="n">
        <f aca="false">'2026 transactions'!F154</f>
        <v>117.044311912451</v>
      </c>
      <c r="G74" s="4" t="n">
        <f aca="false">'2026 transactions'!A66</f>
        <v>46071</v>
      </c>
      <c r="H74" s="5" t="n">
        <f aca="false">'2026 transactions'!F66</f>
        <v>387.596899224806</v>
      </c>
    </row>
    <row r="75" customFormat="false" ht="15" hidden="false" customHeight="false" outlineLevel="0" collapsed="false">
      <c r="A75" s="4" t="n">
        <f aca="false">'2026 transactions'!A424</f>
        <v>46295</v>
      </c>
      <c r="B75" s="5" t="n">
        <f aca="false">'2026 transactions'!F424</f>
        <v>387.107632752672</v>
      </c>
      <c r="C75" s="4" t="n">
        <f aca="false">'2026 transactions'!A149</f>
        <v>46125</v>
      </c>
      <c r="D75" s="5" t="n">
        <f aca="false">'2026 transactions'!F149</f>
        <v>36.1218396983762</v>
      </c>
      <c r="E75" s="4" t="n">
        <f aca="false">'2026 transactions'!A156</f>
        <v>46128</v>
      </c>
      <c r="F75" s="5" t="n">
        <f aca="false">'2026 transactions'!F156</f>
        <v>107.151161488743</v>
      </c>
      <c r="G75" s="4" t="n">
        <f aca="false">'2026 transactions'!A67</f>
        <v>46071</v>
      </c>
      <c r="H75" s="5" t="n">
        <f aca="false">'2026 transactions'!F67</f>
        <v>265.603713308644</v>
      </c>
    </row>
    <row r="76" customFormat="false" ht="15" hidden="false" customHeight="false" outlineLevel="0" collapsed="false">
      <c r="A76" s="6"/>
      <c r="B76" s="6"/>
      <c r="C76" s="4" t="n">
        <f aca="false">'2026 transactions'!A153</f>
        <v>46127</v>
      </c>
      <c r="D76" s="5" t="n">
        <f aca="false">'2026 transactions'!F153</f>
        <v>599.056603773585</v>
      </c>
      <c r="E76" s="4" t="n">
        <f aca="false">'2026 transactions'!A157</f>
        <v>46128</v>
      </c>
      <c r="F76" s="5" t="n">
        <f aca="false">'2026 transactions'!F157</f>
        <v>111.9945036281</v>
      </c>
      <c r="G76" s="4" t="n">
        <f aca="false">'2026 transactions'!A69</f>
        <v>46071</v>
      </c>
      <c r="H76" s="5" t="n">
        <f aca="false">'2026 transactions'!F69</f>
        <v>780.891134588884</v>
      </c>
    </row>
    <row r="77" customFormat="false" ht="15" hidden="false" customHeight="false" outlineLevel="0" collapsed="false">
      <c r="A77" s="6"/>
      <c r="B77" s="6"/>
      <c r="C77" s="4" t="n">
        <f aca="false">'2026 transactions'!A163</f>
        <v>46134</v>
      </c>
      <c r="D77" s="5" t="n">
        <f aca="false">'2026 transactions'!F163</f>
        <v>31.5509105204678</v>
      </c>
      <c r="E77" s="4" t="n">
        <f aca="false">'2026 transactions'!A158</f>
        <v>46128</v>
      </c>
      <c r="F77" s="5" t="n">
        <f aca="false">'2026 transactions'!F158</f>
        <v>94.7656818181818</v>
      </c>
      <c r="G77" s="4" t="n">
        <f aca="false">'2026 transactions'!A72</f>
        <v>46072</v>
      </c>
      <c r="H77" s="5" t="n">
        <f aca="false">'2026 transactions'!F72</f>
        <v>2193.73219373219</v>
      </c>
    </row>
    <row r="78" customFormat="false" ht="15" hidden="false" customHeight="false" outlineLevel="0" collapsed="false">
      <c r="A78" s="6"/>
      <c r="B78" s="6"/>
      <c r="C78" s="4" t="n">
        <f aca="false">'2026 transactions'!A164</f>
        <v>46134</v>
      </c>
      <c r="D78" s="5" t="n">
        <f aca="false">'2026 transactions'!F164</f>
        <v>47.3395706969422</v>
      </c>
      <c r="E78" s="4" t="n">
        <f aca="false">'2026 transactions'!A160</f>
        <v>46129</v>
      </c>
      <c r="F78" s="5" t="n">
        <f aca="false">'2026 transactions'!F160</f>
        <v>298.656047784968</v>
      </c>
      <c r="G78" s="4" t="n">
        <f aca="false">'2026 transactions'!A74</f>
        <v>46073</v>
      </c>
      <c r="H78" s="5" t="n">
        <f aca="false">'2026 transactions'!F74</f>
        <v>562.5</v>
      </c>
    </row>
    <row r="79" customFormat="false" ht="15" hidden="false" customHeight="false" outlineLevel="0" collapsed="false">
      <c r="A79" s="6"/>
      <c r="B79" s="6"/>
      <c r="C79" s="4" t="n">
        <f aca="false">'2026 transactions'!A168</f>
        <v>46135</v>
      </c>
      <c r="D79" s="5" t="n">
        <f aca="false">'2026 transactions'!F168</f>
        <v>800.768737988469</v>
      </c>
      <c r="E79" s="4" t="n">
        <f aca="false">'2026 transactions'!A162</f>
        <v>46133</v>
      </c>
      <c r="F79" s="5" t="n">
        <f aca="false">'2026 transactions'!F162</f>
        <v>115.748011015116</v>
      </c>
      <c r="G79" s="4" t="n">
        <f aca="false">'2026 transactions'!A76</f>
        <v>46077</v>
      </c>
      <c r="H79" s="5" t="n">
        <f aca="false">'2026 transactions'!F76</f>
        <v>251.690846197532</v>
      </c>
    </row>
    <row r="80" customFormat="false" ht="15" hidden="false" customHeight="false" outlineLevel="0" collapsed="false">
      <c r="A80" s="6"/>
      <c r="B80" s="6"/>
      <c r="C80" s="4" t="n">
        <f aca="false">'2026 transactions'!A176</f>
        <v>46140</v>
      </c>
      <c r="D80" s="5" t="n">
        <f aca="false">'2026 transactions'!F176</f>
        <v>263.703300823661</v>
      </c>
      <c r="E80" s="4" t="n">
        <f aca="false">'2026 transactions'!A169</f>
        <v>46135</v>
      </c>
      <c r="F80" s="5" t="n">
        <f aca="false">'2026 transactions'!F169</f>
        <v>96.5913535387972</v>
      </c>
      <c r="G80" s="4" t="n">
        <f aca="false">'2026 transactions'!A78</f>
        <v>46078</v>
      </c>
      <c r="H80" s="5" t="n">
        <f aca="false">'2026 transactions'!F78</f>
        <v>949.266954962557</v>
      </c>
    </row>
    <row r="81" customFormat="false" ht="15" hidden="false" customHeight="false" outlineLevel="0" collapsed="false">
      <c r="A81" s="6"/>
      <c r="B81" s="6"/>
      <c r="C81" s="4" t="n">
        <f aca="false">'2026 transactions'!A183</f>
        <v>46143</v>
      </c>
      <c r="D81" s="5" t="n">
        <f aca="false">'2026 transactions'!F183</f>
        <v>314.047144018326</v>
      </c>
      <c r="E81" s="4" t="n">
        <f aca="false">'2026 transactions'!A171</f>
        <v>46136</v>
      </c>
      <c r="F81" s="5" t="n">
        <f aca="false">'2026 transactions'!F171</f>
        <v>767.400067997474</v>
      </c>
      <c r="G81" s="4" t="n">
        <f aca="false">'2026 transactions'!A80</f>
        <v>46079</v>
      </c>
      <c r="H81" s="5" t="n">
        <f aca="false">'2026 transactions'!F80</f>
        <v>4454.52336599984</v>
      </c>
    </row>
    <row r="82" customFormat="false" ht="15" hidden="false" customHeight="false" outlineLevel="0" collapsed="false">
      <c r="A82" s="6"/>
      <c r="B82" s="6"/>
      <c r="C82" s="4" t="n">
        <f aca="false">'2026 transactions'!A204</f>
        <v>46160</v>
      </c>
      <c r="D82" s="5" t="n">
        <f aca="false">'2026 transactions'!F204</f>
        <v>166.316421495047</v>
      </c>
      <c r="E82" s="4" t="n">
        <f aca="false">'2026 transactions'!A172</f>
        <v>46136</v>
      </c>
      <c r="F82" s="5" t="n">
        <f aca="false">'2026 transactions'!F172</f>
        <v>150.565836126087</v>
      </c>
      <c r="G82" s="4" t="n">
        <f aca="false">'2026 transactions'!A82</f>
        <v>46079</v>
      </c>
      <c r="H82" s="5" t="n">
        <f aca="false">'2026 transactions'!F82</f>
        <v>336.261031907671</v>
      </c>
    </row>
    <row r="83" customFormat="false" ht="15" hidden="false" customHeight="false" outlineLevel="0" collapsed="false">
      <c r="A83" s="6"/>
      <c r="B83" s="6"/>
      <c r="C83" s="4" t="n">
        <f aca="false">'2026 transactions'!A205</f>
        <v>46161</v>
      </c>
      <c r="D83" s="5" t="n">
        <f aca="false">'2026 transactions'!F205</f>
        <v>1348.88715953307</v>
      </c>
      <c r="E83" s="4" t="n">
        <f aca="false">'2026 transactions'!A175</f>
        <v>46139</v>
      </c>
      <c r="F83" s="5" t="n">
        <f aca="false">'2026 transactions'!F175</f>
        <v>62.8981210688674</v>
      </c>
      <c r="G83" s="4" t="n">
        <f aca="false">'2026 transactions'!A83</f>
        <v>46079</v>
      </c>
      <c r="H83" s="5" t="n">
        <f aca="false">'2026 transactions'!F83</f>
        <v>2315.19761865388</v>
      </c>
    </row>
    <row r="84" customFormat="false" ht="15" hidden="false" customHeight="false" outlineLevel="0" collapsed="false">
      <c r="A84" s="6"/>
      <c r="B84" s="6"/>
      <c r="C84" s="4" t="n">
        <f aca="false">'2026 transactions'!A209</f>
        <v>46162</v>
      </c>
      <c r="D84" s="5" t="n">
        <f aca="false">'2026 transactions'!F209</f>
        <v>341.425164178129</v>
      </c>
      <c r="E84" s="4" t="n">
        <f aca="false">'2026 transactions'!A177</f>
        <v>46140</v>
      </c>
      <c r="F84" s="5" t="n">
        <f aca="false">'2026 transactions'!F177</f>
        <v>704.588063206906</v>
      </c>
      <c r="G84" s="4" t="n">
        <f aca="false">'2026 transactions'!A84</f>
        <v>46079</v>
      </c>
      <c r="H84" s="5" t="n">
        <f aca="false">'2026 transactions'!F84</f>
        <v>77.8023172739325</v>
      </c>
    </row>
    <row r="85" customFormat="false" ht="15" hidden="false" customHeight="false" outlineLevel="0" collapsed="false">
      <c r="A85" s="6"/>
      <c r="B85" s="6"/>
      <c r="C85" s="4" t="n">
        <f aca="false">'2026 transactions'!A211</f>
        <v>46168</v>
      </c>
      <c r="D85" s="5" t="n">
        <f aca="false">'2026 transactions'!F211</f>
        <v>1593.00391394585</v>
      </c>
      <c r="E85" s="4" t="n">
        <f aca="false">'2026 transactions'!A184</f>
        <v>46147</v>
      </c>
      <c r="F85" s="5" t="n">
        <f aca="false">'2026 transactions'!F184</f>
        <v>210.970464135021</v>
      </c>
      <c r="G85" s="4" t="n">
        <f aca="false">'2026 transactions'!A85</f>
        <v>46079</v>
      </c>
      <c r="H85" s="5" t="n">
        <f aca="false">'2026 transactions'!F85</f>
        <v>291.293471513895</v>
      </c>
    </row>
    <row r="86" customFormat="false" ht="15" hidden="false" customHeight="false" outlineLevel="0" collapsed="false">
      <c r="A86" s="6"/>
      <c r="B86" s="6"/>
      <c r="C86" s="4" t="n">
        <f aca="false">'2026 transactions'!A217</f>
        <v>46170</v>
      </c>
      <c r="D86" s="5" t="n">
        <f aca="false">'2026 transactions'!F217</f>
        <v>268.756998880179</v>
      </c>
      <c r="E86" s="4" t="n">
        <f aca="false">'2026 transactions'!A189</f>
        <v>46149</v>
      </c>
      <c r="F86" s="5" t="n">
        <f aca="false">'2026 transactions'!F189</f>
        <v>476.45469458651</v>
      </c>
      <c r="G86" s="4" t="n">
        <f aca="false">'2026 transactions'!A86</f>
        <v>46079</v>
      </c>
      <c r="H86" s="5" t="n">
        <f aca="false">'2026 transactions'!F86</f>
        <v>166.914482262854</v>
      </c>
    </row>
    <row r="87" customFormat="false" ht="15" hidden="false" customHeight="false" outlineLevel="0" collapsed="false">
      <c r="A87" s="6"/>
      <c r="B87" s="6"/>
      <c r="C87" s="4" t="n">
        <f aca="false">'2026 transactions'!A221</f>
        <v>46171</v>
      </c>
      <c r="D87" s="5" t="n">
        <f aca="false">'2026 transactions'!F221</f>
        <v>91.4531331271827</v>
      </c>
      <c r="E87" s="4" t="n">
        <f aca="false">'2026 transactions'!A190</f>
        <v>46154</v>
      </c>
      <c r="F87" s="5" t="n">
        <f aca="false">'2026 transactions'!F190</f>
        <v>426.333531627999</v>
      </c>
      <c r="G87" s="4" t="n">
        <f aca="false">'2026 transactions'!A87</f>
        <v>46079</v>
      </c>
      <c r="H87" s="5" t="n">
        <f aca="false">'2026 transactions'!F87</f>
        <v>238.715725811859</v>
      </c>
    </row>
    <row r="88" customFormat="false" ht="15" hidden="false" customHeight="false" outlineLevel="0" collapsed="false">
      <c r="A88" s="6"/>
      <c r="B88" s="6"/>
      <c r="C88" s="4" t="n">
        <f aca="false">'2026 transactions'!A222</f>
        <v>46174</v>
      </c>
      <c r="D88" s="5" t="n">
        <f aca="false">'2026 transactions'!F222</f>
        <v>76.0375479351189</v>
      </c>
      <c r="E88" s="4" t="n">
        <f aca="false">'2026 transactions'!A194</f>
        <v>46156</v>
      </c>
      <c r="F88" s="5" t="n">
        <f aca="false">'2026 transactions'!F194</f>
        <v>534.992470476341</v>
      </c>
      <c r="G88" s="4" t="n">
        <f aca="false">'2026 transactions'!A91</f>
        <v>46080</v>
      </c>
      <c r="H88" s="5" t="n">
        <f aca="false">'2026 transactions'!F91</f>
        <v>1915.32258064516</v>
      </c>
    </row>
    <row r="89" customFormat="false" ht="15" hidden="false" customHeight="false" outlineLevel="0" collapsed="false">
      <c r="A89" s="6"/>
      <c r="B89" s="6"/>
      <c r="C89" s="4" t="n">
        <f aca="false">'2026 transactions'!A230</f>
        <v>46177</v>
      </c>
      <c r="D89" s="5" t="n">
        <f aca="false">'2026 transactions'!F230</f>
        <v>77.2322815626955</v>
      </c>
      <c r="E89" s="4" t="n">
        <f aca="false">'2026 transactions'!A198</f>
        <v>46160</v>
      </c>
      <c r="F89" s="5" t="n">
        <f aca="false">'2026 transactions'!F198</f>
        <v>1204.9891737477</v>
      </c>
      <c r="G89" s="4" t="n">
        <f aca="false">'2026 transactions'!A92</f>
        <v>46084</v>
      </c>
      <c r="H89" s="5" t="n">
        <f aca="false">'2026 transactions'!F92</f>
        <v>8232.62839879154</v>
      </c>
    </row>
    <row r="90" customFormat="false" ht="15" hidden="false" customHeight="false" outlineLevel="0" collapsed="false">
      <c r="A90" s="6"/>
      <c r="B90" s="6"/>
      <c r="C90" s="4" t="n">
        <f aca="false">'2026 transactions'!A232</f>
        <v>46178</v>
      </c>
      <c r="D90" s="5" t="n">
        <f aca="false">'2026 transactions'!F232</f>
        <v>1378.88873794321</v>
      </c>
      <c r="E90" s="4" t="n">
        <f aca="false">'2026 transactions'!A201</f>
        <v>46160</v>
      </c>
      <c r="F90" s="5" t="n">
        <f aca="false">'2026 transactions'!F201</f>
        <v>152.223762453199</v>
      </c>
      <c r="G90" s="4" t="n">
        <f aca="false">'2026 transactions'!A95</f>
        <v>46085</v>
      </c>
      <c r="H90" s="5" t="n">
        <f aca="false">'2026 transactions'!F95</f>
        <v>1692.86577992745</v>
      </c>
    </row>
    <row r="91" customFormat="false" ht="15" hidden="false" customHeight="false" outlineLevel="0" collapsed="false">
      <c r="A91" s="6"/>
      <c r="B91" s="6"/>
      <c r="C91" s="4" t="n">
        <f aca="false">'2026 transactions'!A236</f>
        <v>46178</v>
      </c>
      <c r="D91" s="5" t="n">
        <f aca="false">'2026 transactions'!F236</f>
        <v>133.999068477429</v>
      </c>
      <c r="E91" s="4" t="n">
        <f aca="false">'2026 transactions'!A203</f>
        <v>46160</v>
      </c>
      <c r="F91" s="5" t="n">
        <f aca="false">'2026 transactions'!F203</f>
        <v>204.545454545455</v>
      </c>
      <c r="G91" s="4" t="n">
        <f aca="false">'2026 transactions'!A96</f>
        <v>46085</v>
      </c>
      <c r="H91" s="5" t="n">
        <f aca="false">'2026 transactions'!F96</f>
        <v>72.3684210526316</v>
      </c>
    </row>
    <row r="92" customFormat="false" ht="15" hidden="false" customHeight="false" outlineLevel="0" collapsed="false">
      <c r="A92" s="6"/>
      <c r="B92" s="6"/>
      <c r="C92" s="4" t="n">
        <f aca="false">'2026 transactions'!A238</f>
        <v>46181</v>
      </c>
      <c r="D92" s="5" t="n">
        <f aca="false">'2026 transactions'!F238</f>
        <v>1148.74768982416</v>
      </c>
      <c r="E92" s="4" t="n">
        <f aca="false">'2026 transactions'!A212</f>
        <v>46168</v>
      </c>
      <c r="F92" s="5" t="n">
        <f aca="false">'2026 transactions'!F212</f>
        <v>656.565656565657</v>
      </c>
      <c r="G92" s="4" t="n">
        <f aca="false">'2026 transactions'!A97</f>
        <v>46085</v>
      </c>
      <c r="H92" s="5" t="n">
        <f aca="false">'2026 transactions'!F97</f>
        <v>64.6130728775357</v>
      </c>
    </row>
    <row r="93" customFormat="false" ht="15" hidden="false" customHeight="false" outlineLevel="0" collapsed="false">
      <c r="A93" s="6"/>
      <c r="B93" s="6"/>
      <c r="C93" s="4" t="n">
        <f aca="false">'2026 transactions'!A246</f>
        <v>46184</v>
      </c>
      <c r="D93" s="5" t="n">
        <f aca="false">'2026 transactions'!F246</f>
        <v>860.916649674891</v>
      </c>
      <c r="E93" s="4" t="n">
        <f aca="false">'2026 transactions'!A220</f>
        <v>46171</v>
      </c>
      <c r="F93" s="5" t="n">
        <f aca="false">'2026 transactions'!F220</f>
        <v>1338.28354342946</v>
      </c>
      <c r="G93" s="4" t="n">
        <f aca="false">'2026 transactions'!A101</f>
        <v>46090</v>
      </c>
      <c r="H93" s="5" t="n">
        <f aca="false">'2026 transactions'!F101</f>
        <v>1045.22593772795</v>
      </c>
    </row>
    <row r="94" customFormat="false" ht="15" hidden="false" customHeight="false" outlineLevel="0" collapsed="false">
      <c r="A94" s="6"/>
      <c r="B94" s="6"/>
      <c r="C94" s="4" t="n">
        <f aca="false">'2026 transactions'!A247</f>
        <v>46184</v>
      </c>
      <c r="D94" s="5" t="n">
        <f aca="false">'2026 transactions'!F247</f>
        <v>138.199777974127</v>
      </c>
      <c r="E94" s="4" t="n">
        <f aca="false">'2026 transactions'!A223</f>
        <v>46175</v>
      </c>
      <c r="F94" s="5" t="n">
        <f aca="false">'2026 transactions'!F223</f>
        <v>368.459837877671</v>
      </c>
      <c r="G94" s="4" t="n">
        <f aca="false">'2026 transactions'!A102</f>
        <v>46090</v>
      </c>
      <c r="H94" s="5" t="n">
        <f aca="false">'2026 transactions'!F102</f>
        <v>1176.47058823529</v>
      </c>
    </row>
    <row r="95" customFormat="false" ht="15" hidden="false" customHeight="false" outlineLevel="0" collapsed="false">
      <c r="A95" s="6"/>
      <c r="B95" s="6"/>
      <c r="C95" s="4" t="n">
        <f aca="false">'2026 transactions'!A265</f>
        <v>46198</v>
      </c>
      <c r="D95" s="5" t="n">
        <f aca="false">'2026 transactions'!F265</f>
        <v>528.662420382166</v>
      </c>
      <c r="E95" s="4" t="n">
        <f aca="false">'2026 transactions'!A224</f>
        <v>46176</v>
      </c>
      <c r="F95" s="5" t="n">
        <f aca="false">'2026 transactions'!F224</f>
        <v>267.001555232558</v>
      </c>
      <c r="G95" s="4" t="n">
        <f aca="false">'2026 transactions'!A103</f>
        <v>46091</v>
      </c>
      <c r="H95" s="5" t="n">
        <f aca="false">'2026 transactions'!F103</f>
        <v>717.948717948718</v>
      </c>
    </row>
    <row r="96" customFormat="false" ht="15" hidden="false" customHeight="false" outlineLevel="0" collapsed="false">
      <c r="A96" s="6"/>
      <c r="B96" s="6"/>
      <c r="C96" s="4" t="n">
        <f aca="false">'2026 transactions'!A276</f>
        <v>46203</v>
      </c>
      <c r="D96" s="5" t="n">
        <f aca="false">'2026 transactions'!F276</f>
        <v>568.725087233488</v>
      </c>
      <c r="E96" s="4" t="n">
        <f aca="false">'2026 transactions'!A228</f>
        <v>46177</v>
      </c>
      <c r="F96" s="5" t="n">
        <f aca="false">'2026 transactions'!F228</f>
        <v>64.8016472867016</v>
      </c>
      <c r="G96" s="4" t="n">
        <f aca="false">'2026 transactions'!A106</f>
        <v>46094</v>
      </c>
      <c r="H96" s="5" t="n">
        <f aca="false">'2026 transactions'!F106</f>
        <v>3008.62760834671</v>
      </c>
    </row>
    <row r="97" customFormat="false" ht="15" hidden="false" customHeight="false" outlineLevel="0" collapsed="false">
      <c r="A97" s="6"/>
      <c r="B97" s="6"/>
      <c r="C97" s="4" t="n">
        <f aca="false">'2026 transactions'!A277</f>
        <v>46203</v>
      </c>
      <c r="D97" s="5" t="n">
        <f aca="false">'2026 transactions'!F277</f>
        <v>662.557781201849</v>
      </c>
      <c r="E97" s="4" t="n">
        <f aca="false">'2026 transactions'!A233</f>
        <v>46178</v>
      </c>
      <c r="F97" s="5" t="n">
        <f aca="false">'2026 transactions'!F233</f>
        <v>187.367471788247</v>
      </c>
      <c r="G97" s="4" t="n">
        <f aca="false">'2026 transactions'!A110</f>
        <v>46099</v>
      </c>
      <c r="H97" s="5" t="n">
        <f aca="false">'2026 transactions'!F110</f>
        <v>216.907976790846</v>
      </c>
    </row>
    <row r="98" customFormat="false" ht="15" hidden="false" customHeight="false" outlineLevel="0" collapsed="false">
      <c r="A98" s="6"/>
      <c r="B98" s="6"/>
      <c r="C98" s="4" t="n">
        <f aca="false">'2026 transactions'!A278</f>
        <v>46203</v>
      </c>
      <c r="D98" s="5" t="n">
        <f aca="false">'2026 transactions'!F278</f>
        <v>522.97748514878</v>
      </c>
      <c r="E98" s="4" t="n">
        <f aca="false">'2026 transactions'!A241</f>
        <v>46182</v>
      </c>
      <c r="F98" s="5" t="n">
        <f aca="false">'2026 transactions'!F241</f>
        <v>301.381331100879</v>
      </c>
      <c r="G98" s="4" t="n">
        <f aca="false">'2026 transactions'!A112</f>
        <v>46100</v>
      </c>
      <c r="H98" s="5" t="n">
        <f aca="false">'2026 transactions'!F112</f>
        <v>358.910891089109</v>
      </c>
    </row>
    <row r="99" customFormat="false" ht="15" hidden="false" customHeight="false" outlineLevel="0" collapsed="false">
      <c r="A99" s="6"/>
      <c r="B99" s="6"/>
      <c r="C99" s="4" t="n">
        <f aca="false">'2026 transactions'!A303</f>
        <v>46219</v>
      </c>
      <c r="D99" s="5" t="n">
        <f aca="false">'2026 transactions'!F303</f>
        <v>226.003722414252</v>
      </c>
      <c r="E99" s="4" t="n">
        <f aca="false">'2026 transactions'!A243</f>
        <v>46183</v>
      </c>
      <c r="F99" s="5" t="n">
        <f aca="false">'2026 transactions'!F243</f>
        <v>412.765957446809</v>
      </c>
      <c r="G99" s="4" t="n">
        <f aca="false">'2026 transactions'!A113</f>
        <v>46101</v>
      </c>
      <c r="H99" s="5" t="n">
        <f aca="false">'2026 transactions'!F113</f>
        <v>3998.4006397441</v>
      </c>
    </row>
    <row r="100" customFormat="false" ht="15" hidden="false" customHeight="false" outlineLevel="0" collapsed="false">
      <c r="A100" s="6"/>
      <c r="B100" s="6"/>
      <c r="C100" s="4" t="n">
        <f aca="false">'2026 transactions'!A306</f>
        <v>46223</v>
      </c>
      <c r="D100" s="5" t="n">
        <f aca="false">'2026 transactions'!F306</f>
        <v>552.192304769624</v>
      </c>
      <c r="E100" s="4" t="n">
        <f aca="false">'2026 transactions'!A250</f>
        <v>46185</v>
      </c>
      <c r="F100" s="5" t="n">
        <f aca="false">'2026 transactions'!F250</f>
        <v>874.814101426524</v>
      </c>
      <c r="G100" s="4" t="n">
        <f aca="false">'2026 transactions'!A114</f>
        <v>46101</v>
      </c>
      <c r="H100" s="5" t="n">
        <f aca="false">'2026 transactions'!F114</f>
        <v>780.705423114457</v>
      </c>
    </row>
    <row r="101" customFormat="false" ht="15" hidden="false" customHeight="false" outlineLevel="0" collapsed="false">
      <c r="A101" s="6"/>
      <c r="B101" s="6"/>
      <c r="C101" s="4" t="n">
        <f aca="false">'2026 transactions'!A307</f>
        <v>46223</v>
      </c>
      <c r="D101" s="5" t="n">
        <f aca="false">'2026 transactions'!F307</f>
        <v>65.5574348686885</v>
      </c>
      <c r="E101" s="4" t="n">
        <f aca="false">'2026 transactions'!A256</f>
        <v>46191</v>
      </c>
      <c r="F101" s="5" t="n">
        <f aca="false">'2026 transactions'!F256</f>
        <v>329.312063684794</v>
      </c>
      <c r="G101" s="4" t="n">
        <f aca="false">'2026 transactions'!A115</f>
        <v>46104</v>
      </c>
      <c r="H101" s="5" t="n">
        <f aca="false">'2026 transactions'!F115</f>
        <v>316.811273412353</v>
      </c>
    </row>
    <row r="102" customFormat="false" ht="15" hidden="false" customHeight="false" outlineLevel="0" collapsed="false">
      <c r="A102" s="6"/>
      <c r="B102" s="6"/>
      <c r="C102" s="4" t="n">
        <f aca="false">'2026 transactions'!A312</f>
        <v>46225</v>
      </c>
      <c r="D102" s="5" t="n">
        <f aca="false">'2026 transactions'!F312</f>
        <v>134.825987491628</v>
      </c>
      <c r="E102" s="4" t="n">
        <f aca="false">'2026 transactions'!A271</f>
        <v>46202</v>
      </c>
      <c r="F102" s="5" t="n">
        <f aca="false">'2026 transactions'!F271</f>
        <v>188.984573475258</v>
      </c>
      <c r="G102" s="4" t="n">
        <f aca="false">'2026 transactions'!A117</f>
        <v>46104</v>
      </c>
      <c r="H102" s="5" t="n">
        <f aca="false">'2026 transactions'!F117</f>
        <v>1969.69696969697</v>
      </c>
    </row>
    <row r="103" customFormat="false" ht="15" hidden="false" customHeight="false" outlineLevel="0" collapsed="false">
      <c r="A103" s="6"/>
      <c r="B103" s="6"/>
      <c r="C103" s="4" t="n">
        <f aca="false">'2026 transactions'!A315</f>
        <v>46231</v>
      </c>
      <c r="D103" s="5" t="n">
        <f aca="false">'2026 transactions'!F315</f>
        <v>53.4463331493316</v>
      </c>
      <c r="E103" s="4" t="n">
        <f aca="false">'2026 transactions'!A275</f>
        <v>46202</v>
      </c>
      <c r="F103" s="5" t="n">
        <f aca="false">'2026 transactions'!F275</f>
        <v>207</v>
      </c>
      <c r="G103" s="4" t="n">
        <f aca="false">'2026 transactions'!A118</f>
        <v>46105</v>
      </c>
      <c r="H103" s="5" t="n">
        <f aca="false">'2026 transactions'!F118</f>
        <v>955.223880597015</v>
      </c>
    </row>
    <row r="104" customFormat="false" ht="15" hidden="false" customHeight="false" outlineLevel="0" collapsed="false">
      <c r="A104" s="6"/>
      <c r="B104" s="6"/>
      <c r="C104" s="4" t="n">
        <f aca="false">'2026 transactions'!A321</f>
        <v>46234</v>
      </c>
      <c r="D104" s="5" t="n">
        <f aca="false">'2026 transactions'!F321</f>
        <v>771.5215021927</v>
      </c>
      <c r="E104" s="4" t="n">
        <f aca="false">'2026 transactions'!A279</f>
        <v>46203</v>
      </c>
      <c r="F104" s="5" t="n">
        <f aca="false">'2026 transactions'!F279</f>
        <v>6399.31740614335</v>
      </c>
      <c r="G104" s="4" t="n">
        <f aca="false">'2026 transactions'!A119</f>
        <v>46105</v>
      </c>
      <c r="H104" s="5" t="n">
        <f aca="false">'2026 transactions'!F119</f>
        <v>547.536087605774</v>
      </c>
    </row>
    <row r="105" customFormat="false" ht="15" hidden="false" customHeight="false" outlineLevel="0" collapsed="false">
      <c r="A105" s="6"/>
      <c r="B105" s="6"/>
      <c r="C105" s="4" t="n">
        <f aca="false">'2026 transactions'!A333</f>
        <v>46241</v>
      </c>
      <c r="D105" s="5" t="n">
        <f aca="false">'2026 transactions'!F333</f>
        <v>37.6332130210917</v>
      </c>
      <c r="E105" s="4" t="n">
        <f aca="false">'2026 transactions'!A283</f>
        <v>46205</v>
      </c>
      <c r="F105" s="5" t="n">
        <f aca="false">'2026 transactions'!F283</f>
        <v>981.012658227848</v>
      </c>
      <c r="G105" s="4" t="n">
        <f aca="false">'2026 transactions'!A120</f>
        <v>46106</v>
      </c>
      <c r="H105" s="5" t="n">
        <f aca="false">'2026 transactions'!F120</f>
        <v>552.646887725422</v>
      </c>
    </row>
    <row r="106" customFormat="false" ht="15" hidden="false" customHeight="false" outlineLevel="0" collapsed="false">
      <c r="A106" s="6"/>
      <c r="B106" s="6"/>
      <c r="C106" s="4" t="n">
        <f aca="false">'2026 transactions'!A334</f>
        <v>46241</v>
      </c>
      <c r="D106" s="5" t="n">
        <f aca="false">'2026 transactions'!F334</f>
        <v>476.46598373209</v>
      </c>
      <c r="E106" s="4" t="n">
        <f aca="false">'2026 transactions'!A291</f>
        <v>46213</v>
      </c>
      <c r="F106" s="5" t="n">
        <f aca="false">'2026 transactions'!F291</f>
        <v>324.540208823767</v>
      </c>
      <c r="G106" s="4" t="n">
        <f aca="false">'2026 transactions'!A121</f>
        <v>46106</v>
      </c>
      <c r="H106" s="5" t="n">
        <f aca="false">'2026 transactions'!F121</f>
        <v>357.351225204201</v>
      </c>
    </row>
    <row r="107" customFormat="false" ht="15" hidden="false" customHeight="false" outlineLevel="0" collapsed="false">
      <c r="A107" s="6"/>
      <c r="B107" s="6"/>
      <c r="C107" s="4" t="n">
        <f aca="false">'2026 transactions'!A358</f>
        <v>46258</v>
      </c>
      <c r="D107" s="5" t="n">
        <f aca="false">'2026 transactions'!F358</f>
        <v>224.387981779696</v>
      </c>
      <c r="E107" s="4" t="n">
        <f aca="false">'2026 transactions'!A302</f>
        <v>46219</v>
      </c>
      <c r="F107" s="5" t="n">
        <f aca="false">'2026 transactions'!F302</f>
        <v>689.868865979381</v>
      </c>
      <c r="G107" s="4" t="n">
        <f aca="false">'2026 transactions'!A122</f>
        <v>46106</v>
      </c>
      <c r="H107" s="5" t="n">
        <f aca="false">'2026 transactions'!F122</f>
        <v>448.217675595866</v>
      </c>
    </row>
    <row r="108" customFormat="false" ht="15" hidden="false" customHeight="false" outlineLevel="0" collapsed="false">
      <c r="A108" s="6"/>
      <c r="B108" s="6"/>
      <c r="C108" s="4" t="n">
        <f aca="false">'2026 transactions'!A371</f>
        <v>46265</v>
      </c>
      <c r="D108" s="5" t="n">
        <f aca="false">'2026 transactions'!F371</f>
        <v>894.19844051792</v>
      </c>
      <c r="E108" s="4" t="n">
        <f aca="false">'2026 transactions'!A308</f>
        <v>46223</v>
      </c>
      <c r="F108" s="5" t="n">
        <f aca="false">'2026 transactions'!F308</f>
        <v>334.367643911834</v>
      </c>
      <c r="G108" s="4" t="n">
        <f aca="false">'2026 transactions'!A123</f>
        <v>46106</v>
      </c>
      <c r="H108" s="5" t="n">
        <f aca="false">'2026 transactions'!F123</f>
        <v>412.224951155975</v>
      </c>
    </row>
    <row r="109" customFormat="false" ht="15" hidden="false" customHeight="false" outlineLevel="0" collapsed="false">
      <c r="A109" s="6"/>
      <c r="B109" s="6"/>
      <c r="C109" s="4" t="n">
        <f aca="false">'2026 transactions'!A381</f>
        <v>46269</v>
      </c>
      <c r="D109" s="5" t="n">
        <f aca="false">'2026 transactions'!F381</f>
        <v>69.0089307655279</v>
      </c>
      <c r="E109" s="4" t="n">
        <f aca="false">'2026 transactions'!A310</f>
        <v>46224</v>
      </c>
      <c r="F109" s="5" t="n">
        <f aca="false">'2026 transactions'!F310</f>
        <v>108.735655257787</v>
      </c>
      <c r="G109" s="4" t="n">
        <f aca="false">'2026 transactions'!A124</f>
        <v>46107</v>
      </c>
      <c r="H109" s="5" t="n">
        <f aca="false">'2026 transactions'!F124</f>
        <v>651.170691656522</v>
      </c>
    </row>
    <row r="110" customFormat="false" ht="15" hidden="false" customHeight="false" outlineLevel="0" collapsed="false">
      <c r="A110" s="6"/>
      <c r="B110" s="6"/>
      <c r="C110" s="4" t="n">
        <f aca="false">'2026 transactions'!A382</f>
        <v>46269</v>
      </c>
      <c r="D110" s="5" t="n">
        <f aca="false">'2026 transactions'!F382</f>
        <v>35.3073613507079</v>
      </c>
      <c r="E110" s="4" t="n">
        <f aca="false">'2026 transactions'!A314</f>
        <v>46231</v>
      </c>
      <c r="F110" s="5" t="n">
        <f aca="false">'2026 transactions'!F314</f>
        <v>396.209873212841</v>
      </c>
      <c r="G110" s="4" t="n">
        <f aca="false">'2026 transactions'!A130</f>
        <v>46108</v>
      </c>
      <c r="H110" s="5" t="n">
        <f aca="false">'2026 transactions'!F130</f>
        <v>1093.02325581395</v>
      </c>
    </row>
    <row r="111" customFormat="false" ht="15" hidden="false" customHeight="false" outlineLevel="0" collapsed="false">
      <c r="A111" s="6"/>
      <c r="B111" s="6"/>
      <c r="C111" s="4" t="n">
        <f aca="false">'2026 transactions'!A383</f>
        <v>46269</v>
      </c>
      <c r="D111" s="5" t="n">
        <f aca="false">'2026 transactions'!F383</f>
        <v>335.497835497836</v>
      </c>
      <c r="E111" s="4" t="n">
        <f aca="false">'2026 transactions'!A322</f>
        <v>46234</v>
      </c>
      <c r="F111" s="5" t="n">
        <f aca="false">'2026 transactions'!F322</f>
        <v>376.751727339393</v>
      </c>
      <c r="G111" s="4" t="n">
        <f aca="false">'2026 transactions'!A131</f>
        <v>46108</v>
      </c>
      <c r="H111" s="5" t="n">
        <f aca="false">'2026 transactions'!F131</f>
        <v>1032.53110340608</v>
      </c>
    </row>
    <row r="112" customFormat="false" ht="15" hidden="false" customHeight="false" outlineLevel="0" collapsed="false">
      <c r="A112" s="6"/>
      <c r="B112" s="6"/>
      <c r="C112" s="4" t="n">
        <f aca="false">'2026 transactions'!A387</f>
        <v>46273</v>
      </c>
      <c r="D112" s="5" t="n">
        <f aca="false">'2026 transactions'!F387</f>
        <v>769.230769230769</v>
      </c>
      <c r="E112" s="4" t="n">
        <f aca="false">'2026 transactions'!A323</f>
        <v>46234</v>
      </c>
      <c r="F112" s="5" t="n">
        <f aca="false">'2026 transactions'!F323</f>
        <v>311.340142940401</v>
      </c>
      <c r="G112" s="4" t="n">
        <f aca="false">'2026 transactions'!A134</f>
        <v>46111</v>
      </c>
      <c r="H112" s="5" t="n">
        <f aca="false">'2026 transactions'!F134</f>
        <v>843.373493975904</v>
      </c>
    </row>
    <row r="113" customFormat="false" ht="15" hidden="false" customHeight="false" outlineLevel="0" collapsed="false">
      <c r="A113" s="6"/>
      <c r="B113" s="6"/>
      <c r="C113" s="4" t="n">
        <f aca="false">'2026 transactions'!A396</f>
        <v>46279</v>
      </c>
      <c r="D113" s="5" t="n">
        <f aca="false">'2026 transactions'!F396</f>
        <v>194.137678622577</v>
      </c>
      <c r="E113" s="4" t="n">
        <f aca="false">'2026 transactions'!A336</f>
        <v>46244</v>
      </c>
      <c r="F113" s="5" t="n">
        <f aca="false">'2026 transactions'!F336</f>
        <v>620.037420576735</v>
      </c>
      <c r="G113" s="4" t="n">
        <f aca="false">'2026 transactions'!A136</f>
        <v>46112</v>
      </c>
      <c r="H113" s="5" t="n">
        <f aca="false">'2026 transactions'!F136</f>
        <v>3113.71841155235</v>
      </c>
    </row>
    <row r="114" customFormat="false" ht="15" hidden="false" customHeight="false" outlineLevel="0" collapsed="false">
      <c r="A114" s="6"/>
      <c r="B114" s="6"/>
      <c r="C114" s="4" t="n">
        <f aca="false">'2026 transactions'!A409</f>
        <v>46283</v>
      </c>
      <c r="D114" s="5" t="n">
        <f aca="false">'2026 transactions'!F409</f>
        <v>92.7590591870259</v>
      </c>
      <c r="E114" s="4" t="n">
        <f aca="false">'2026 transactions'!A339</f>
        <v>46244</v>
      </c>
      <c r="F114" s="5" t="n">
        <f aca="false">'2026 transactions'!F339</f>
        <v>485.665047783174</v>
      </c>
      <c r="G114" s="4" t="n">
        <f aca="false">'2026 transactions'!A137</f>
        <v>46113</v>
      </c>
      <c r="H114" s="5" t="n">
        <f aca="false">'2026 transactions'!F137</f>
        <v>808.563067919298</v>
      </c>
    </row>
    <row r="115" customFormat="false" ht="15" hidden="false" customHeight="false" outlineLevel="0" collapsed="false">
      <c r="A115" s="6"/>
      <c r="B115" s="6"/>
      <c r="C115" s="4" t="n">
        <f aca="false">'2026 transactions'!A410</f>
        <v>46283</v>
      </c>
      <c r="D115" s="5" t="n">
        <f aca="false">'2026 transactions'!F410</f>
        <v>1209.83625007034</v>
      </c>
      <c r="E115" s="4" t="n">
        <f aca="false">'2026 transactions'!A341</f>
        <v>46245</v>
      </c>
      <c r="F115" s="5" t="n">
        <f aca="false">'2026 transactions'!F341</f>
        <v>844.965233769172</v>
      </c>
      <c r="G115" s="4" t="n">
        <f aca="false">'2026 transactions'!A141</f>
        <v>46118</v>
      </c>
      <c r="H115" s="5" t="n">
        <f aca="false">'2026 transactions'!F141</f>
        <v>1024.14322832704</v>
      </c>
    </row>
    <row r="116" customFormat="false" ht="15" hidden="false" customHeight="false" outlineLevel="0" collapsed="false">
      <c r="A116" s="6"/>
      <c r="B116" s="6"/>
      <c r="C116" s="4" t="n">
        <f aca="false">'2026 transactions'!A411</f>
        <v>46283</v>
      </c>
      <c r="D116" s="5" t="n">
        <f aca="false">'2026 transactions'!F411</f>
        <v>75.3082933258025</v>
      </c>
      <c r="E116" s="4" t="n">
        <f aca="false">'2026 transactions'!A348</f>
        <v>46246</v>
      </c>
      <c r="F116" s="5" t="n">
        <f aca="false">'2026 transactions'!F348</f>
        <v>68.0206342274076</v>
      </c>
      <c r="G116" s="4" t="n">
        <f aca="false">'2026 transactions'!A142</f>
        <v>46119</v>
      </c>
      <c r="H116" s="5" t="n">
        <f aca="false">'2026 transactions'!F142</f>
        <v>245.562983835817</v>
      </c>
    </row>
    <row r="117" customFormat="false" ht="15" hidden="false" customHeight="false" outlineLevel="0" collapsed="false">
      <c r="A117" s="6"/>
      <c r="B117" s="6"/>
      <c r="C117" s="4" t="n">
        <f aca="false">'2026 transactions'!A413</f>
        <v>46286</v>
      </c>
      <c r="D117" s="5" t="n">
        <f aca="false">'2026 transactions'!F413</f>
        <v>36.320257668555</v>
      </c>
      <c r="E117" s="4" t="n">
        <f aca="false">'2026 transactions'!A349</f>
        <v>46246</v>
      </c>
      <c r="F117" s="5" t="n">
        <f aca="false">'2026 transactions'!F349</f>
        <v>108.994936151475</v>
      </c>
      <c r="G117" s="4" t="n">
        <f aca="false">'2026 transactions'!A143</f>
        <v>46119</v>
      </c>
      <c r="H117" s="5" t="n">
        <f aca="false">'2026 transactions'!F143</f>
        <v>73.6510804613504</v>
      </c>
    </row>
    <row r="118" customFormat="false" ht="15" hidden="false" customHeight="false" outlineLevel="0" collapsed="false">
      <c r="A118" s="6"/>
      <c r="B118" s="6"/>
      <c r="C118" s="4" t="n">
        <f aca="false">'2026 transactions'!A414</f>
        <v>46286</v>
      </c>
      <c r="D118" s="5" t="n">
        <f aca="false">'2026 transactions'!F414</f>
        <v>17.3152347729096</v>
      </c>
      <c r="E118" s="4" t="n">
        <f aca="false">'2026 transactions'!A350</f>
        <v>46246</v>
      </c>
      <c r="F118" s="5" t="n">
        <f aca="false">'2026 transactions'!F350</f>
        <v>64.9462365591398</v>
      </c>
      <c r="G118" s="4" t="n">
        <f aca="false">'2026 transactions'!A145</f>
        <v>46120</v>
      </c>
      <c r="H118" s="5" t="n">
        <f aca="false">'2026 transactions'!F145</f>
        <v>35.1909579353622</v>
      </c>
    </row>
    <row r="119" customFormat="false" ht="15" hidden="false" customHeight="false" outlineLevel="0" collapsed="false">
      <c r="A119" s="6"/>
      <c r="B119" s="6"/>
      <c r="C119" s="4" t="n">
        <f aca="false">'2026 transactions'!A419</f>
        <v>46290</v>
      </c>
      <c r="D119" s="5" t="n">
        <f aca="false">'2026 transactions'!F419</f>
        <v>63.5413724936459</v>
      </c>
      <c r="E119" s="4" t="n">
        <f aca="false">'2026 transactions'!A351</f>
        <v>46247</v>
      </c>
      <c r="F119" s="5" t="n">
        <f aca="false">'2026 transactions'!F351</f>
        <v>979.166666666667</v>
      </c>
      <c r="G119" s="4" t="n">
        <f aca="false">'2026 transactions'!A147</f>
        <v>46121</v>
      </c>
      <c r="H119" s="5" t="n">
        <f aca="false">'2026 transactions'!F147</f>
        <v>3646.54002713704</v>
      </c>
    </row>
    <row r="120" customFormat="false" ht="15" hidden="false" customHeight="false" outlineLevel="0" collapsed="false">
      <c r="A120" s="6"/>
      <c r="B120" s="6"/>
      <c r="C120" s="4" t="n">
        <f aca="false">'2026 transactions'!A420</f>
        <v>46290</v>
      </c>
      <c r="D120" s="5" t="n">
        <f aca="false">'2026 transactions'!F420</f>
        <v>44.1543402466811</v>
      </c>
      <c r="E120" s="4" t="n">
        <f aca="false">'2026 transactions'!A352</f>
        <v>46247</v>
      </c>
      <c r="F120" s="5" t="n">
        <f aca="false">'2026 transactions'!F352</f>
        <v>669.287156060767</v>
      </c>
      <c r="G120" s="4" t="n">
        <f aca="false">'2026 transactions'!A148</f>
        <v>46122</v>
      </c>
      <c r="H120" s="5" t="n">
        <f aca="false">'2026 transactions'!F148</f>
        <v>937.5</v>
      </c>
    </row>
    <row r="121" customFormat="false" ht="15" hidden="false" customHeight="false" outlineLevel="0" collapsed="false">
      <c r="A121" s="6"/>
      <c r="B121" s="6"/>
      <c r="C121" s="4" t="n">
        <f aca="false">'2026 transactions'!A421</f>
        <v>46290</v>
      </c>
      <c r="D121" s="5" t="n">
        <f aca="false">'2026 transactions'!F421</f>
        <v>494.210674950579</v>
      </c>
      <c r="E121" s="4" t="n">
        <f aca="false">'2026 transactions'!A354</f>
        <v>46251</v>
      </c>
      <c r="F121" s="5" t="n">
        <f aca="false">'2026 transactions'!F354</f>
        <v>890.41095890411</v>
      </c>
      <c r="G121" s="4" t="n">
        <f aca="false">'2026 transactions'!A150</f>
        <v>46126</v>
      </c>
      <c r="H121" s="5" t="n">
        <f aca="false">'2026 transactions'!F150</f>
        <v>103.030808206958</v>
      </c>
    </row>
    <row r="122" customFormat="false" ht="15" hidden="false" customHeight="false" outlineLevel="0" collapsed="false">
      <c r="A122" s="6"/>
      <c r="B122" s="6"/>
      <c r="C122" s="4" t="n">
        <f aca="false">'2026 transactions'!A422</f>
        <v>46294</v>
      </c>
      <c r="D122" s="5" t="n">
        <f aca="false">'2026 transactions'!F422</f>
        <v>111.404824069855</v>
      </c>
      <c r="E122" s="4" t="n">
        <f aca="false">'2026 transactions'!A356</f>
        <v>46254</v>
      </c>
      <c r="F122" s="5" t="n">
        <f aca="false">'2026 transactions'!F356</f>
        <v>324.825986078886</v>
      </c>
      <c r="G122" s="4" t="n">
        <f aca="false">'2026 transactions'!A151</f>
        <v>46127</v>
      </c>
      <c r="H122" s="5" t="n">
        <f aca="false">'2026 transactions'!F151</f>
        <v>132.414483859649</v>
      </c>
    </row>
    <row r="123" customFormat="false" ht="15" hidden="false" customHeight="false" outlineLevel="0" collapsed="false">
      <c r="A123" s="6"/>
      <c r="B123" s="6"/>
      <c r="C123" s="6"/>
      <c r="D123" s="6"/>
      <c r="E123" s="4" t="n">
        <f aca="false">'2026 transactions'!A357</f>
        <v>46255</v>
      </c>
      <c r="F123" s="5" t="n">
        <f aca="false">'2026 transactions'!F357</f>
        <v>380.632026201646</v>
      </c>
      <c r="G123" s="4" t="n">
        <f aca="false">'2026 transactions'!A152</f>
        <v>46127</v>
      </c>
      <c r="H123" s="5" t="n">
        <f aca="false">'2026 transactions'!F152</f>
        <v>104.286961294118</v>
      </c>
    </row>
    <row r="124" customFormat="false" ht="15" hidden="false" customHeight="false" outlineLevel="0" collapsed="false">
      <c r="A124" s="6"/>
      <c r="B124" s="6"/>
      <c r="C124" s="6"/>
      <c r="D124" s="6"/>
      <c r="E124" s="4" t="n">
        <f aca="false">'2026 transactions'!A360</f>
        <v>46259</v>
      </c>
      <c r="F124" s="5" t="n">
        <f aca="false">'2026 transactions'!F360</f>
        <v>879.169654136365</v>
      </c>
      <c r="G124" s="4" t="n">
        <f aca="false">'2026 transactions'!A161</f>
        <v>46132</v>
      </c>
      <c r="H124" s="5" t="n">
        <f aca="false">'2026 transactions'!F161</f>
        <v>59.1378134736842</v>
      </c>
    </row>
    <row r="125" customFormat="false" ht="15" hidden="false" customHeight="false" outlineLevel="0" collapsed="false">
      <c r="A125" s="6"/>
      <c r="B125" s="6"/>
      <c r="C125" s="6"/>
      <c r="D125" s="6"/>
      <c r="E125" s="4" t="n">
        <f aca="false">'2026 transactions'!A364</f>
        <v>46261</v>
      </c>
      <c r="F125" s="5" t="n">
        <f aca="false">'2026 transactions'!F364</f>
        <v>607.843137254902</v>
      </c>
      <c r="G125" s="4" t="n">
        <f aca="false">'2026 transactions'!A170</f>
        <v>46135</v>
      </c>
      <c r="H125" s="5" t="n">
        <f aca="false">'2026 transactions'!F170</f>
        <v>154.224100062933</v>
      </c>
    </row>
    <row r="126" customFormat="false" ht="15" hidden="false" customHeight="false" outlineLevel="0" collapsed="false">
      <c r="A126" s="6"/>
      <c r="B126" s="6"/>
      <c r="C126" s="6"/>
      <c r="D126" s="6"/>
      <c r="E126" s="4" t="n">
        <f aca="false">'2026 transactions'!A368</f>
        <v>46262</v>
      </c>
      <c r="F126" s="5" t="n">
        <f aca="false">'2026 transactions'!F368</f>
        <v>432.0733368</v>
      </c>
      <c r="G126" s="4" t="n">
        <f aca="false">'2026 transactions'!A173</f>
        <v>46136</v>
      </c>
      <c r="H126" s="5" t="n">
        <f aca="false">'2026 transactions'!F173</f>
        <v>158.057590300581</v>
      </c>
    </row>
    <row r="127" customFormat="false" ht="15" hidden="false" customHeight="false" outlineLevel="0" collapsed="false">
      <c r="A127" s="6"/>
      <c r="B127" s="6"/>
      <c r="C127" s="6"/>
      <c r="D127" s="6"/>
      <c r="E127" s="4" t="n">
        <f aca="false">'2026 transactions'!A388</f>
        <v>46273</v>
      </c>
      <c r="F127" s="5" t="n">
        <f aca="false">'2026 transactions'!F388</f>
        <v>439.664502164502</v>
      </c>
      <c r="G127" s="4" t="n">
        <f aca="false">'2026 transactions'!A178</f>
        <v>46140</v>
      </c>
      <c r="H127" s="5" t="n">
        <f aca="false">'2026 transactions'!F178</f>
        <v>2738.69818045395</v>
      </c>
    </row>
    <row r="128" customFormat="false" ht="15" hidden="false" customHeight="false" outlineLevel="0" collapsed="false">
      <c r="A128" s="6"/>
      <c r="B128" s="6"/>
      <c r="C128" s="6"/>
      <c r="D128" s="6"/>
      <c r="E128" s="4" t="n">
        <f aca="false">'2026 transactions'!A398</f>
        <v>46279</v>
      </c>
      <c r="F128" s="5" t="n">
        <f aca="false">'2026 transactions'!F398</f>
        <v>476.477683956574</v>
      </c>
      <c r="G128" s="4" t="n">
        <f aca="false">'2026 transactions'!A179</f>
        <v>46140</v>
      </c>
      <c r="H128" s="5" t="n">
        <f aca="false">'2026 transactions'!F179</f>
        <v>2045.92901878914</v>
      </c>
    </row>
    <row r="129" customFormat="false" ht="15" hidden="false" customHeight="false" outlineLevel="0" collapsed="false">
      <c r="A129" s="6"/>
      <c r="B129" s="6"/>
      <c r="C129" s="6"/>
      <c r="D129" s="6"/>
      <c r="E129" s="4" t="n">
        <f aca="false">'2026 transactions'!A417</f>
        <v>46288</v>
      </c>
      <c r="F129" s="5" t="n">
        <f aca="false">'2026 transactions'!F417</f>
        <v>1021.6894977169</v>
      </c>
      <c r="G129" s="4" t="n">
        <f aca="false">'2026 transactions'!A180</f>
        <v>46141</v>
      </c>
      <c r="H129" s="5" t="n">
        <f aca="false">'2026 transactions'!F180</f>
        <v>250.290631187789</v>
      </c>
    </row>
    <row r="130" customFormat="false" ht="15" hidden="false" customHeight="false" outlineLevel="0" collapsed="false">
      <c r="A130" s="6"/>
      <c r="B130" s="6"/>
      <c r="C130" s="6"/>
      <c r="D130" s="6"/>
      <c r="E130" s="4" t="n">
        <f aca="false">'2026 transactions'!A425</f>
        <v>46295</v>
      </c>
      <c r="F130" s="5" t="n">
        <f aca="false">'2026 transactions'!F425</f>
        <v>591.723641597697</v>
      </c>
      <c r="G130" s="4" t="n">
        <f aca="false">'2026 transactions'!A185</f>
        <v>46148</v>
      </c>
      <c r="H130" s="5" t="n">
        <f aca="false">'2026 transactions'!F185</f>
        <v>218.28680385667</v>
      </c>
    </row>
    <row r="131" customFormat="false" ht="15" hidden="false" customHeight="false" outlineLevel="0" collapsed="false">
      <c r="A131" s="6"/>
      <c r="B131" s="6"/>
      <c r="C131" s="6"/>
      <c r="D131" s="6"/>
      <c r="E131" s="6"/>
      <c r="F131" s="6"/>
      <c r="G131" s="4" t="n">
        <f aca="false">'2026 transactions'!A187</f>
        <v>46148</v>
      </c>
      <c r="H131" s="5" t="n">
        <f aca="false">'2026 transactions'!F187</f>
        <v>2640.84507042254</v>
      </c>
    </row>
    <row r="132" customFormat="false" ht="15" hidden="false" customHeight="false" outlineLevel="0" collapsed="false">
      <c r="A132" s="6"/>
      <c r="B132" s="6"/>
      <c r="C132" s="6"/>
      <c r="D132" s="6"/>
      <c r="E132" s="6"/>
      <c r="F132" s="6"/>
      <c r="G132" s="4" t="n">
        <f aca="false">'2026 transactions'!A188</f>
        <v>46148</v>
      </c>
      <c r="H132" s="5" t="n">
        <f aca="false">'2026 transactions'!F188</f>
        <v>1462.91510216024</v>
      </c>
    </row>
    <row r="133" customFormat="false" ht="15" hidden="false" customHeight="false" outlineLevel="0" collapsed="false">
      <c r="A133" s="6"/>
      <c r="B133" s="6"/>
      <c r="C133" s="6"/>
      <c r="D133" s="6"/>
      <c r="E133" s="6"/>
      <c r="F133" s="6"/>
      <c r="G133" s="4" t="n">
        <f aca="false">'2026 transactions'!A191</f>
        <v>46154</v>
      </c>
      <c r="H133" s="5" t="n">
        <f aca="false">'2026 transactions'!F191</f>
        <v>1174.07370421053</v>
      </c>
    </row>
    <row r="134" customFormat="false" ht="15" hidden="false" customHeight="false" outlineLevel="0" collapsed="false">
      <c r="A134" s="6"/>
      <c r="B134" s="6"/>
      <c r="C134" s="6"/>
      <c r="D134" s="6"/>
      <c r="E134" s="6"/>
      <c r="F134" s="6"/>
      <c r="G134" s="4" t="n">
        <f aca="false">'2026 transactions'!A192</f>
        <v>46155</v>
      </c>
      <c r="H134" s="5" t="n">
        <f aca="false">'2026 transactions'!F192</f>
        <v>54.8591510321545</v>
      </c>
    </row>
    <row r="135" customFormat="false" ht="15" hidden="false" customHeight="false" outlineLevel="0" collapsed="false">
      <c r="A135" s="6"/>
      <c r="B135" s="6"/>
      <c r="C135" s="6"/>
      <c r="D135" s="6"/>
      <c r="E135" s="6"/>
      <c r="F135" s="6"/>
      <c r="G135" s="4" t="n">
        <f aca="false">'2026 transactions'!A193</f>
        <v>46156</v>
      </c>
      <c r="H135" s="5" t="n">
        <f aca="false">'2026 transactions'!F193</f>
        <v>349.355148621503</v>
      </c>
    </row>
    <row r="136" customFormat="false" ht="15" hidden="false" customHeight="false" outlineLevel="0" collapsed="false">
      <c r="A136" s="6"/>
      <c r="B136" s="6"/>
      <c r="C136" s="6"/>
      <c r="D136" s="6"/>
      <c r="E136" s="6"/>
      <c r="F136" s="6"/>
      <c r="G136" s="4" t="n">
        <f aca="false">'2026 transactions'!A199</f>
        <v>46160</v>
      </c>
      <c r="H136" s="5" t="n">
        <f aca="false">'2026 transactions'!F199</f>
        <v>4473.34394270937</v>
      </c>
    </row>
    <row r="137" customFormat="false" ht="15" hidden="false" customHeight="false" outlineLevel="0" collapsed="false">
      <c r="A137" s="6"/>
      <c r="B137" s="6"/>
      <c r="C137" s="6"/>
      <c r="D137" s="6"/>
      <c r="E137" s="6"/>
      <c r="F137" s="6"/>
      <c r="G137" s="4" t="n">
        <f aca="false">'2026 transactions'!A200</f>
        <v>46160</v>
      </c>
      <c r="H137" s="5" t="n">
        <f aca="false">'2026 transactions'!F200</f>
        <v>4052.00223410636</v>
      </c>
    </row>
    <row r="138" customFormat="false" ht="15" hidden="false" customHeight="false" outlineLevel="0" collapsed="false">
      <c r="A138" s="6"/>
      <c r="B138" s="6"/>
      <c r="C138" s="6"/>
      <c r="D138" s="6"/>
      <c r="E138" s="6"/>
      <c r="F138" s="6"/>
      <c r="G138" s="4" t="n">
        <f aca="false">'2026 transactions'!A202</f>
        <v>46160</v>
      </c>
      <c r="H138" s="5" t="n">
        <f aca="false">'2026 transactions'!F202</f>
        <v>62.8861788617886</v>
      </c>
    </row>
    <row r="139" customFormat="false" ht="15" hidden="false" customHeight="false" outlineLevel="0" collapsed="false">
      <c r="A139" s="6"/>
      <c r="B139" s="6"/>
      <c r="C139" s="6"/>
      <c r="D139" s="6"/>
      <c r="E139" s="6"/>
      <c r="F139" s="6"/>
      <c r="G139" s="4" t="n">
        <f aca="false">'2026 transactions'!A206</f>
        <v>46161</v>
      </c>
      <c r="H139" s="5" t="n">
        <f aca="false">'2026 transactions'!F206</f>
        <v>459.046494852121</v>
      </c>
    </row>
    <row r="140" customFormat="false" ht="15" hidden="false" customHeight="false" outlineLevel="0" collapsed="false">
      <c r="A140" s="6"/>
      <c r="B140" s="6"/>
      <c r="C140" s="6"/>
      <c r="D140" s="6"/>
      <c r="E140" s="6"/>
      <c r="F140" s="6"/>
      <c r="G140" s="4" t="n">
        <f aca="false">'2026 transactions'!A207</f>
        <v>46161</v>
      </c>
      <c r="H140" s="5" t="n">
        <f aca="false">'2026 transactions'!F207</f>
        <v>455.647115850703</v>
      </c>
    </row>
    <row r="141" customFormat="false" ht="15" hidden="false" customHeight="false" outlineLevel="0" collapsed="false">
      <c r="A141" s="6"/>
      <c r="B141" s="6"/>
      <c r="C141" s="6"/>
      <c r="D141" s="6"/>
      <c r="E141" s="6"/>
      <c r="F141" s="6"/>
      <c r="G141" s="4" t="n">
        <f aca="false">'2026 transactions'!A208</f>
        <v>46162</v>
      </c>
      <c r="H141" s="5" t="n">
        <f aca="false">'2026 transactions'!F208</f>
        <v>394.304957585575</v>
      </c>
    </row>
    <row r="142" customFormat="false" ht="15" hidden="false" customHeight="false" outlineLevel="0" collapsed="false">
      <c r="A142" s="6"/>
      <c r="B142" s="6"/>
      <c r="C142" s="6"/>
      <c r="D142" s="6"/>
      <c r="E142" s="6"/>
      <c r="F142" s="6"/>
      <c r="G142" s="4" t="n">
        <f aca="false">'2026 transactions'!A210</f>
        <v>46168</v>
      </c>
      <c r="H142" s="5" t="n">
        <f aca="false">'2026 transactions'!F210</f>
        <v>9012.48873438908</v>
      </c>
    </row>
    <row r="143" customFormat="false" ht="15" hidden="false" customHeight="false" outlineLevel="0" collapsed="false">
      <c r="A143" s="6"/>
      <c r="B143" s="6"/>
      <c r="C143" s="6"/>
      <c r="D143" s="6"/>
      <c r="E143" s="6"/>
      <c r="F143" s="6"/>
      <c r="G143" s="4" t="n">
        <f aca="false">'2026 transactions'!A213</f>
        <v>46168</v>
      </c>
      <c r="H143" s="5" t="n">
        <f aca="false">'2026 transactions'!F213</f>
        <v>2297.0745776679</v>
      </c>
    </row>
    <row r="144" customFormat="false" ht="15" hidden="false" customHeight="false" outlineLevel="0" collapsed="false">
      <c r="A144" s="6"/>
      <c r="B144" s="6"/>
      <c r="C144" s="6"/>
      <c r="D144" s="6"/>
      <c r="E144" s="6"/>
      <c r="F144" s="6"/>
      <c r="G144" s="4" t="n">
        <f aca="false">'2026 transactions'!A214</f>
        <v>46168</v>
      </c>
      <c r="H144" s="5" t="n">
        <f aca="false">'2026 transactions'!F214</f>
        <v>1787.87376362112</v>
      </c>
    </row>
    <row r="145" customFormat="false" ht="15" hidden="false" customHeight="false" outlineLevel="0" collapsed="false">
      <c r="A145" s="6"/>
      <c r="B145" s="6"/>
      <c r="C145" s="6"/>
      <c r="D145" s="6"/>
      <c r="E145" s="6"/>
      <c r="F145" s="6"/>
      <c r="G145" s="4" t="n">
        <f aca="false">'2026 transactions'!A215</f>
        <v>46169</v>
      </c>
      <c r="H145" s="5" t="n">
        <f aca="false">'2026 transactions'!F215</f>
        <v>1424.50142450142</v>
      </c>
    </row>
    <row r="146" customFormat="false" ht="15" hidden="false" customHeight="false" outlineLevel="0" collapsed="false">
      <c r="A146" s="6"/>
      <c r="B146" s="6"/>
      <c r="C146" s="6"/>
      <c r="D146" s="6"/>
      <c r="E146" s="6"/>
      <c r="F146" s="6"/>
      <c r="G146" s="4" t="n">
        <f aca="false">'2026 transactions'!A218</f>
        <v>46170</v>
      </c>
      <c r="H146" s="5" t="n">
        <f aca="false">'2026 transactions'!F218</f>
        <v>54.9756437021573</v>
      </c>
    </row>
    <row r="147" customFormat="false" ht="15" hidden="false" customHeight="false" outlineLevel="0" collapsed="false">
      <c r="A147" s="6"/>
      <c r="B147" s="6"/>
      <c r="C147" s="6"/>
      <c r="D147" s="6"/>
      <c r="E147" s="6"/>
      <c r="F147" s="6"/>
      <c r="G147" s="4" t="n">
        <f aca="false">'2026 transactions'!A219</f>
        <v>46170</v>
      </c>
      <c r="H147" s="5" t="n">
        <f aca="false">'2026 transactions'!F219</f>
        <v>1390</v>
      </c>
    </row>
    <row r="148" customFormat="false" ht="15" hidden="false" customHeight="false" outlineLevel="0" collapsed="false">
      <c r="A148" s="6"/>
      <c r="B148" s="6"/>
      <c r="C148" s="6"/>
      <c r="D148" s="6"/>
      <c r="E148" s="6"/>
      <c r="F148" s="6"/>
      <c r="G148" s="4" t="n">
        <f aca="false">'2026 transactions'!A225</f>
        <v>46176</v>
      </c>
      <c r="H148" s="5" t="n">
        <f aca="false">'2026 transactions'!F225</f>
        <v>892.453682783552</v>
      </c>
    </row>
    <row r="149" customFormat="false" ht="15" hidden="false" customHeight="false" outlineLevel="0" collapsed="false">
      <c r="A149" s="6"/>
      <c r="B149" s="6"/>
      <c r="C149" s="6"/>
      <c r="D149" s="6"/>
      <c r="E149" s="6"/>
      <c r="F149" s="6"/>
      <c r="G149" s="4" t="n">
        <f aca="false">'2026 transactions'!A226</f>
        <v>46176</v>
      </c>
      <c r="H149" s="5" t="n">
        <f aca="false">'2026 transactions'!F226</f>
        <v>1327.33889959323</v>
      </c>
    </row>
    <row r="150" customFormat="false" ht="15" hidden="false" customHeight="false" outlineLevel="0" collapsed="false">
      <c r="A150" s="6"/>
      <c r="B150" s="6"/>
      <c r="C150" s="6"/>
      <c r="D150" s="6"/>
      <c r="E150" s="6"/>
      <c r="F150" s="6"/>
      <c r="G150" s="4" t="n">
        <f aca="false">'2026 transactions'!A227</f>
        <v>46177</v>
      </c>
      <c r="H150" s="5" t="n">
        <f aca="false">'2026 transactions'!F227</f>
        <v>79.843385772353</v>
      </c>
    </row>
    <row r="151" customFormat="false" ht="15" hidden="false" customHeight="false" outlineLevel="0" collapsed="false">
      <c r="A151" s="6"/>
      <c r="B151" s="6"/>
      <c r="C151" s="6"/>
      <c r="D151" s="6"/>
      <c r="E151" s="6"/>
      <c r="F151" s="6"/>
      <c r="G151" s="4" t="n">
        <f aca="false">'2026 transactions'!A231</f>
        <v>46177</v>
      </c>
      <c r="H151" s="5" t="n">
        <f aca="false">'2026 transactions'!F231</f>
        <v>1158.19209039548</v>
      </c>
    </row>
    <row r="152" customFormat="false" ht="15" hidden="false" customHeight="false" outlineLevel="0" collapsed="false">
      <c r="A152" s="6"/>
      <c r="B152" s="6"/>
      <c r="C152" s="6"/>
      <c r="D152" s="6"/>
      <c r="E152" s="6"/>
      <c r="F152" s="6"/>
      <c r="G152" s="4" t="n">
        <f aca="false">'2026 transactions'!A234</f>
        <v>46178</v>
      </c>
      <c r="H152" s="5" t="n">
        <f aca="false">'2026 transactions'!F234</f>
        <v>497.434234901816</v>
      </c>
    </row>
    <row r="153" customFormat="false" ht="15" hidden="false" customHeight="false" outlineLevel="0" collapsed="false">
      <c r="A153" s="6"/>
      <c r="B153" s="6"/>
      <c r="C153" s="6"/>
      <c r="D153" s="6"/>
      <c r="E153" s="6"/>
      <c r="F153" s="6"/>
      <c r="G153" s="4" t="n">
        <f aca="false">'2026 transactions'!A235</f>
        <v>46178</v>
      </c>
      <c r="H153" s="5" t="n">
        <f aca="false">'2026 transactions'!F235</f>
        <v>340.433023673959</v>
      </c>
    </row>
    <row r="154" customFormat="false" ht="15" hidden="false" customHeight="false" outlineLevel="0" collapsed="false">
      <c r="A154" s="6"/>
      <c r="B154" s="6"/>
      <c r="C154" s="6"/>
      <c r="D154" s="6"/>
      <c r="E154" s="6"/>
      <c r="F154" s="6"/>
      <c r="G154" s="4" t="n">
        <f aca="false">'2026 transactions'!A237</f>
        <v>46178</v>
      </c>
      <c r="H154" s="5" t="n">
        <f aca="false">'2026 transactions'!F237</f>
        <v>35.3975794653544</v>
      </c>
    </row>
    <row r="155" customFormat="false" ht="15" hidden="false" customHeight="false" outlineLevel="0" collapsed="false">
      <c r="A155" s="6"/>
      <c r="B155" s="6"/>
      <c r="C155" s="6"/>
      <c r="D155" s="6"/>
      <c r="E155" s="6"/>
      <c r="F155" s="6"/>
      <c r="G155" s="4" t="n">
        <f aca="false">'2026 transactions'!A239</f>
        <v>46182</v>
      </c>
      <c r="H155" s="5" t="n">
        <f aca="false">'2026 transactions'!F239</f>
        <v>631.201555280632</v>
      </c>
    </row>
    <row r="156" customFormat="false" ht="15" hidden="false" customHeight="false" outlineLevel="0" collapsed="false">
      <c r="A156" s="6"/>
      <c r="B156" s="6"/>
      <c r="C156" s="6"/>
      <c r="D156" s="6"/>
      <c r="E156" s="6"/>
      <c r="F156" s="6"/>
      <c r="G156" s="4" t="n">
        <f aca="false">'2026 transactions'!A240</f>
        <v>46182</v>
      </c>
      <c r="H156" s="5" t="n">
        <f aca="false">'2026 transactions'!F240</f>
        <v>3242.14792299899</v>
      </c>
    </row>
    <row r="157" customFormat="false" ht="15" hidden="false" customHeight="false" outlineLevel="0" collapsed="false">
      <c r="A157" s="6"/>
      <c r="B157" s="6"/>
      <c r="C157" s="6"/>
      <c r="D157" s="6"/>
      <c r="E157" s="6"/>
      <c r="F157" s="6"/>
      <c r="G157" s="4" t="n">
        <f aca="false">'2026 transactions'!A244</f>
        <v>46183</v>
      </c>
      <c r="H157" s="5" t="n">
        <f aca="false">'2026 transactions'!F244</f>
        <v>534.923757993114</v>
      </c>
    </row>
    <row r="158" customFormat="false" ht="15" hidden="false" customHeight="false" outlineLevel="0" collapsed="false">
      <c r="A158" s="6"/>
      <c r="B158" s="6"/>
      <c r="C158" s="6"/>
      <c r="D158" s="6"/>
      <c r="E158" s="6"/>
      <c r="F158" s="6"/>
      <c r="G158" s="4" t="n">
        <f aca="false">'2026 transactions'!A248</f>
        <v>46184</v>
      </c>
      <c r="H158" s="5" t="n">
        <f aca="false">'2026 transactions'!F248</f>
        <v>190.856635596982</v>
      </c>
    </row>
    <row r="159" customFormat="false" ht="15" hidden="false" customHeight="false" outlineLevel="0" collapsed="false">
      <c r="A159" s="6"/>
      <c r="B159" s="6"/>
      <c r="C159" s="6"/>
      <c r="D159" s="6"/>
      <c r="E159" s="6"/>
      <c r="F159" s="6"/>
      <c r="G159" s="4" t="n">
        <f aca="false">'2026 transactions'!A249</f>
        <v>46185</v>
      </c>
      <c r="H159" s="5" t="n">
        <f aca="false">'2026 transactions'!F249</f>
        <v>1062.23361172706</v>
      </c>
    </row>
    <row r="160" customFormat="false" ht="15" hidden="false" customHeight="false" outlineLevel="0" collapsed="false">
      <c r="A160" s="6"/>
      <c r="B160" s="6"/>
      <c r="C160" s="6"/>
      <c r="D160" s="6"/>
      <c r="E160" s="6"/>
      <c r="F160" s="6"/>
      <c r="G160" s="4" t="n">
        <f aca="false">'2026 transactions'!A251</f>
        <v>46185</v>
      </c>
      <c r="H160" s="5" t="n">
        <f aca="false">'2026 transactions'!F251</f>
        <v>2208.5757379875</v>
      </c>
    </row>
    <row r="161" customFormat="false" ht="15" hidden="false" customHeight="false" outlineLevel="0" collapsed="false">
      <c r="A161" s="6"/>
      <c r="B161" s="6"/>
      <c r="C161" s="6"/>
      <c r="D161" s="6"/>
      <c r="E161" s="6"/>
      <c r="F161" s="6"/>
      <c r="G161" s="4" t="n">
        <f aca="false">'2026 transactions'!A252</f>
        <v>46185</v>
      </c>
      <c r="H161" s="5" t="n">
        <f aca="false">'2026 transactions'!F252</f>
        <v>276.881983126486</v>
      </c>
    </row>
    <row r="162" customFormat="false" ht="15" hidden="false" customHeight="false" outlineLevel="0" collapsed="false">
      <c r="A162" s="6"/>
      <c r="B162" s="6"/>
      <c r="C162" s="6"/>
      <c r="D162" s="6"/>
      <c r="E162" s="6"/>
      <c r="F162" s="6"/>
      <c r="G162" s="4" t="n">
        <f aca="false">'2026 transactions'!A254</f>
        <v>46190</v>
      </c>
      <c r="H162" s="5" t="n">
        <f aca="false">'2026 transactions'!F254</f>
        <v>277.524204702628</v>
      </c>
    </row>
    <row r="163" customFormat="false" ht="15" hidden="false" customHeight="false" outlineLevel="0" collapsed="false">
      <c r="A163" s="6"/>
      <c r="B163" s="6"/>
      <c r="C163" s="6"/>
      <c r="D163" s="6"/>
      <c r="E163" s="6"/>
      <c r="F163" s="6"/>
      <c r="G163" s="4" t="n">
        <f aca="false">'2026 transactions'!A255</f>
        <v>46190</v>
      </c>
      <c r="H163" s="5" t="n">
        <f aca="false">'2026 transactions'!F255</f>
        <v>642.880102860817</v>
      </c>
    </row>
    <row r="164" customFormat="false" ht="15" hidden="false" customHeight="false" outlineLevel="0" collapsed="false">
      <c r="A164" s="6"/>
      <c r="B164" s="6"/>
      <c r="C164" s="6"/>
      <c r="D164" s="6"/>
      <c r="E164" s="6"/>
      <c r="F164" s="6"/>
      <c r="G164" s="4" t="n">
        <f aca="false">'2026 transactions'!A257</f>
        <v>46191</v>
      </c>
      <c r="H164" s="5" t="n">
        <f aca="false">'2026 transactions'!F257</f>
        <v>319.085119146384</v>
      </c>
    </row>
    <row r="165" customFormat="false" ht="15" hidden="false" customHeight="false" outlineLevel="0" collapsed="false">
      <c r="A165" s="6"/>
      <c r="B165" s="6"/>
      <c r="C165" s="6"/>
      <c r="D165" s="6"/>
      <c r="E165" s="6"/>
      <c r="F165" s="6"/>
      <c r="G165" s="4" t="n">
        <f aca="false">'2026 transactions'!A258</f>
        <v>46191</v>
      </c>
      <c r="H165" s="5" t="n">
        <f aca="false">'2026 transactions'!F258</f>
        <v>1116.84782608696</v>
      </c>
    </row>
    <row r="166" customFormat="false" ht="15" hidden="false" customHeight="false" outlineLevel="0" collapsed="false">
      <c r="A166" s="6"/>
      <c r="B166" s="6"/>
      <c r="C166" s="6"/>
      <c r="D166" s="6"/>
      <c r="E166" s="6"/>
      <c r="F166" s="6"/>
      <c r="G166" s="4" t="n">
        <f aca="false">'2026 transactions'!A259</f>
        <v>46195</v>
      </c>
      <c r="H166" s="5" t="n">
        <f aca="false">'2026 transactions'!F259</f>
        <v>459.185625789225</v>
      </c>
    </row>
    <row r="167" customFormat="false" ht="15" hidden="false" customHeight="false" outlineLevel="0" collapsed="false">
      <c r="A167" s="6"/>
      <c r="B167" s="6"/>
      <c r="C167" s="6"/>
      <c r="D167" s="6"/>
      <c r="E167" s="6"/>
      <c r="F167" s="6"/>
      <c r="G167" s="4" t="n">
        <f aca="false">'2026 transactions'!A261</f>
        <v>46196</v>
      </c>
      <c r="H167" s="5" t="n">
        <f aca="false">'2026 transactions'!F261</f>
        <v>349.635796045786</v>
      </c>
    </row>
    <row r="168" customFormat="false" ht="15" hidden="false" customHeight="false" outlineLevel="0" collapsed="false">
      <c r="A168" s="6"/>
      <c r="B168" s="6"/>
      <c r="C168" s="6"/>
      <c r="D168" s="6"/>
      <c r="E168" s="6"/>
      <c r="F168" s="6"/>
      <c r="G168" s="4" t="n">
        <f aca="false">'2026 transactions'!A262</f>
        <v>46197</v>
      </c>
      <c r="H168" s="5" t="n">
        <f aca="false">'2026 transactions'!F262</f>
        <v>1182.34027279253</v>
      </c>
    </row>
    <row r="169" customFormat="false" ht="15" hidden="false" customHeight="false" outlineLevel="0" collapsed="false">
      <c r="A169" s="6"/>
      <c r="B169" s="6"/>
      <c r="C169" s="6"/>
      <c r="D169" s="6"/>
      <c r="E169" s="6"/>
      <c r="F169" s="6"/>
      <c r="G169" s="4" t="n">
        <f aca="false">'2026 transactions'!A263</f>
        <v>46197</v>
      </c>
      <c r="H169" s="5" t="n">
        <f aca="false">'2026 transactions'!F263</f>
        <v>201.533896881823</v>
      </c>
    </row>
    <row r="170" customFormat="false" ht="15" hidden="false" customHeight="false" outlineLevel="0" collapsed="false">
      <c r="A170" s="6"/>
      <c r="B170" s="6"/>
      <c r="C170" s="6"/>
      <c r="D170" s="6"/>
      <c r="E170" s="6"/>
      <c r="F170" s="6"/>
      <c r="G170" s="4" t="n">
        <f aca="false">'2026 transactions'!A264</f>
        <v>46198</v>
      </c>
      <c r="H170" s="5" t="n">
        <f aca="false">'2026 transactions'!F264</f>
        <v>393.004115226337</v>
      </c>
    </row>
    <row r="171" customFormat="false" ht="15" hidden="false" customHeight="false" outlineLevel="0" collapsed="false">
      <c r="A171" s="6"/>
      <c r="B171" s="6"/>
      <c r="C171" s="6"/>
      <c r="D171" s="6"/>
      <c r="E171" s="6"/>
      <c r="F171" s="6"/>
      <c r="G171" s="4" t="n">
        <f aca="false">'2026 transactions'!A266</f>
        <v>46199</v>
      </c>
      <c r="H171" s="5" t="n">
        <f aca="false">'2026 transactions'!F266</f>
        <v>2500</v>
      </c>
    </row>
    <row r="172" customFormat="false" ht="15" hidden="false" customHeight="false" outlineLevel="0" collapsed="false">
      <c r="A172" s="6"/>
      <c r="B172" s="6"/>
      <c r="C172" s="6"/>
      <c r="D172" s="6"/>
      <c r="E172" s="6"/>
      <c r="F172" s="6"/>
      <c r="G172" s="4" t="n">
        <f aca="false">'2026 transactions'!A268</f>
        <v>46202</v>
      </c>
      <c r="H172" s="5" t="n">
        <f aca="false">'2026 transactions'!F268</f>
        <v>618.429189857761</v>
      </c>
    </row>
    <row r="173" customFormat="false" ht="15" hidden="false" customHeight="false" outlineLevel="0" collapsed="false">
      <c r="A173" s="6"/>
      <c r="B173" s="6"/>
      <c r="C173" s="6"/>
      <c r="D173" s="6"/>
      <c r="E173" s="6"/>
      <c r="F173" s="6"/>
      <c r="G173" s="4" t="n">
        <f aca="false">'2026 transactions'!A269</f>
        <v>46202</v>
      </c>
      <c r="H173" s="5" t="n">
        <f aca="false">'2026 transactions'!F269</f>
        <v>560.939885942223</v>
      </c>
    </row>
    <row r="174" customFormat="false" ht="15" hidden="false" customHeight="false" outlineLevel="0" collapsed="false">
      <c r="A174" s="6"/>
      <c r="B174" s="6"/>
      <c r="C174" s="6"/>
      <c r="D174" s="6"/>
      <c r="E174" s="6"/>
      <c r="F174" s="6"/>
      <c r="G174" s="4" t="n">
        <f aca="false">'2026 transactions'!A270</f>
        <v>46202</v>
      </c>
      <c r="H174" s="5" t="n">
        <f aca="false">'2026 transactions'!F270</f>
        <v>5133.92857142857</v>
      </c>
    </row>
    <row r="175" customFormat="false" ht="15" hidden="false" customHeight="false" outlineLevel="0" collapsed="false">
      <c r="A175" s="6"/>
      <c r="B175" s="6"/>
      <c r="C175" s="6"/>
      <c r="D175" s="6"/>
      <c r="E175" s="6"/>
      <c r="F175" s="6"/>
      <c r="G175" s="4" t="n">
        <f aca="false">'2026 transactions'!A272</f>
        <v>46202</v>
      </c>
      <c r="H175" s="5" t="n">
        <f aca="false">'2026 transactions'!F272</f>
        <v>279.794817134102</v>
      </c>
    </row>
    <row r="176" customFormat="false" ht="15" hidden="false" customHeight="false" outlineLevel="0" collapsed="false">
      <c r="A176" s="6"/>
      <c r="B176" s="6"/>
      <c r="C176" s="6"/>
      <c r="D176" s="6"/>
      <c r="E176" s="6"/>
      <c r="F176" s="6"/>
      <c r="G176" s="4" t="n">
        <f aca="false">'2026 transactions'!A274</f>
        <v>46202</v>
      </c>
      <c r="H176" s="5" t="n">
        <f aca="false">'2026 transactions'!F274</f>
        <v>450.529008254854</v>
      </c>
    </row>
    <row r="177" customFormat="false" ht="15" hidden="false" customHeight="false" outlineLevel="0" collapsed="false">
      <c r="A177" s="6"/>
      <c r="B177" s="6"/>
      <c r="C177" s="6"/>
      <c r="D177" s="6"/>
      <c r="E177" s="6"/>
      <c r="F177" s="6"/>
      <c r="G177" s="4" t="n">
        <f aca="false">'2026 transactions'!A280</f>
        <v>46203</v>
      </c>
      <c r="H177" s="5" t="n">
        <f aca="false">'2026 transactions'!F280</f>
        <v>446.511627906977</v>
      </c>
    </row>
    <row r="178" customFormat="false" ht="15" hidden="false" customHeight="false" outlineLevel="0" collapsed="false">
      <c r="A178" s="6"/>
      <c r="B178" s="6"/>
      <c r="C178" s="6"/>
      <c r="D178" s="6"/>
      <c r="E178" s="6"/>
      <c r="F178" s="6"/>
      <c r="G178" s="4" t="n">
        <f aca="false">'2026 transactions'!A281</f>
        <v>46203</v>
      </c>
      <c r="H178" s="5" t="n">
        <f aca="false">'2026 transactions'!F281</f>
        <v>240.299823633157</v>
      </c>
    </row>
    <row r="179" customFormat="false" ht="15" hidden="false" customHeight="false" outlineLevel="0" collapsed="false">
      <c r="A179" s="6"/>
      <c r="B179" s="6"/>
      <c r="C179" s="6"/>
      <c r="D179" s="6"/>
      <c r="E179" s="6"/>
      <c r="F179" s="6"/>
      <c r="G179" s="4" t="n">
        <f aca="false">'2026 transactions'!A282</f>
        <v>46205</v>
      </c>
      <c r="H179" s="5" t="n">
        <f aca="false">'2026 transactions'!F282</f>
        <v>191.093148355166</v>
      </c>
    </row>
    <row r="180" customFormat="false" ht="15" hidden="false" customHeight="false" outlineLevel="0" collapsed="false">
      <c r="A180" s="6"/>
      <c r="B180" s="6"/>
      <c r="C180" s="6"/>
      <c r="D180" s="6"/>
      <c r="E180" s="6"/>
      <c r="F180" s="6"/>
      <c r="G180" s="4" t="n">
        <f aca="false">'2026 transactions'!A285</f>
        <v>46209</v>
      </c>
      <c r="H180" s="5" t="n">
        <f aca="false">'2026 transactions'!F285</f>
        <v>3698.11320754717</v>
      </c>
    </row>
    <row r="181" customFormat="false" ht="15" hidden="false" customHeight="false" outlineLevel="0" collapsed="false">
      <c r="A181" s="6"/>
      <c r="B181" s="6"/>
      <c r="C181" s="6"/>
      <c r="D181" s="6"/>
      <c r="E181" s="6"/>
      <c r="F181" s="6"/>
      <c r="G181" s="4" t="n">
        <f aca="false">'2026 transactions'!A286</f>
        <v>46210</v>
      </c>
      <c r="H181" s="5" t="n">
        <f aca="false">'2026 transactions'!F286</f>
        <v>434.712234374639</v>
      </c>
    </row>
    <row r="182" customFormat="false" ht="15" hidden="false" customHeight="false" outlineLevel="0" collapsed="false">
      <c r="A182" s="6"/>
      <c r="B182" s="6"/>
      <c r="C182" s="6"/>
      <c r="D182" s="6"/>
      <c r="E182" s="6"/>
      <c r="F182" s="6"/>
      <c r="G182" s="4" t="n">
        <f aca="false">'2026 transactions'!A288</f>
        <v>46211</v>
      </c>
      <c r="H182" s="5" t="n">
        <f aca="false">'2026 transactions'!F288</f>
        <v>54.9584396200814</v>
      </c>
    </row>
    <row r="183" customFormat="false" ht="15" hidden="false" customHeight="false" outlineLevel="0" collapsed="false">
      <c r="A183" s="6"/>
      <c r="B183" s="6"/>
      <c r="C183" s="6"/>
      <c r="D183" s="6"/>
      <c r="E183" s="6"/>
      <c r="F183" s="6"/>
      <c r="G183" s="4" t="n">
        <f aca="false">'2026 transactions'!A290</f>
        <v>46212</v>
      </c>
      <c r="H183" s="5" t="n">
        <f aca="false">'2026 transactions'!F290</f>
        <v>972.432024169184</v>
      </c>
    </row>
    <row r="184" customFormat="false" ht="15" hidden="false" customHeight="false" outlineLevel="0" collapsed="false">
      <c r="A184" s="6"/>
      <c r="B184" s="6"/>
      <c r="C184" s="6"/>
      <c r="D184" s="6"/>
      <c r="E184" s="6"/>
      <c r="F184" s="6"/>
      <c r="G184" s="4" t="n">
        <f aca="false">'2026 transactions'!A292</f>
        <v>46213</v>
      </c>
      <c r="H184" s="5" t="n">
        <f aca="false">'2026 transactions'!F292</f>
        <v>3268.68598823273</v>
      </c>
    </row>
    <row r="185" customFormat="false" ht="15" hidden="false" customHeight="false" outlineLevel="0" collapsed="false">
      <c r="A185" s="6"/>
      <c r="B185" s="6"/>
      <c r="C185" s="6"/>
      <c r="D185" s="6"/>
      <c r="E185" s="6"/>
      <c r="F185" s="6"/>
      <c r="G185" s="4" t="n">
        <f aca="false">'2026 transactions'!A294</f>
        <v>46213</v>
      </c>
      <c r="H185" s="5" t="n">
        <f aca="false">'2026 transactions'!F294</f>
        <v>611.340206185567</v>
      </c>
    </row>
    <row r="186" customFormat="false" ht="15" hidden="false" customHeight="false" outlineLevel="0" collapsed="false">
      <c r="A186" s="6"/>
      <c r="B186" s="6"/>
      <c r="C186" s="6"/>
      <c r="D186" s="6"/>
      <c r="E186" s="6"/>
      <c r="F186" s="6"/>
      <c r="G186" s="4" t="n">
        <f aca="false">'2026 transactions'!A295</f>
        <v>46213</v>
      </c>
      <c r="H186" s="5" t="n">
        <f aca="false">'2026 transactions'!F295</f>
        <v>97.4509393518519</v>
      </c>
    </row>
    <row r="187" customFormat="false" ht="15" hidden="false" customHeight="false" outlineLevel="0" collapsed="false">
      <c r="A187" s="6"/>
      <c r="B187" s="6"/>
      <c r="C187" s="6"/>
      <c r="D187" s="6"/>
      <c r="E187" s="6"/>
      <c r="F187" s="6"/>
      <c r="G187" s="4" t="n">
        <f aca="false">'2026 transactions'!A297</f>
        <v>46216</v>
      </c>
      <c r="H187" s="5" t="n">
        <f aca="false">'2026 transactions'!F297</f>
        <v>1813.33333333333</v>
      </c>
    </row>
    <row r="188" customFormat="false" ht="15" hidden="false" customHeight="false" outlineLevel="0" collapsed="false">
      <c r="A188" s="6"/>
      <c r="B188" s="6"/>
      <c r="C188" s="6"/>
      <c r="D188" s="6"/>
      <c r="E188" s="6"/>
      <c r="F188" s="6"/>
      <c r="G188" s="4" t="n">
        <f aca="false">'2026 transactions'!A298</f>
        <v>46216</v>
      </c>
      <c r="H188" s="5" t="n">
        <f aca="false">'2026 transactions'!F298</f>
        <v>138.69625520111</v>
      </c>
    </row>
    <row r="189" customFormat="false" ht="15" hidden="false" customHeight="false" outlineLevel="0" collapsed="false">
      <c r="A189" s="6"/>
      <c r="B189" s="6"/>
      <c r="C189" s="6"/>
      <c r="D189" s="6"/>
      <c r="E189" s="6"/>
      <c r="F189" s="6"/>
      <c r="G189" s="4" t="n">
        <f aca="false">'2026 transactions'!A299</f>
        <v>46217</v>
      </c>
      <c r="H189" s="5" t="n">
        <f aca="false">'2026 transactions'!F299</f>
        <v>3412.96928327645</v>
      </c>
    </row>
    <row r="190" customFormat="false" ht="15" hidden="false" customHeight="false" outlineLevel="0" collapsed="false">
      <c r="A190" s="6"/>
      <c r="B190" s="6"/>
      <c r="C190" s="6"/>
      <c r="D190" s="6"/>
      <c r="E190" s="6"/>
      <c r="F190" s="6"/>
      <c r="G190" s="4" t="n">
        <f aca="false">'2026 transactions'!A300</f>
        <v>46217</v>
      </c>
      <c r="H190" s="5" t="n">
        <f aca="false">'2026 transactions'!F300</f>
        <v>2425.59523809524</v>
      </c>
    </row>
    <row r="191" customFormat="false" ht="15" hidden="false" customHeight="false" outlineLevel="0" collapsed="false">
      <c r="A191" s="6"/>
      <c r="B191" s="6"/>
      <c r="C191" s="6"/>
      <c r="D191" s="6"/>
      <c r="E191" s="6"/>
      <c r="F191" s="6"/>
      <c r="G191" s="4" t="n">
        <f aca="false">'2026 transactions'!A301</f>
        <v>46217</v>
      </c>
      <c r="H191" s="5" t="n">
        <f aca="false">'2026 transactions'!F301</f>
        <v>286.023500309215</v>
      </c>
    </row>
    <row r="192" customFormat="false" ht="15" hidden="false" customHeight="false" outlineLevel="0" collapsed="false">
      <c r="A192" s="6"/>
      <c r="B192" s="6"/>
      <c r="C192" s="6"/>
      <c r="D192" s="6"/>
      <c r="E192" s="6"/>
      <c r="F192" s="6"/>
      <c r="G192" s="4" t="n">
        <f aca="false">'2026 transactions'!A304</f>
        <v>46220</v>
      </c>
      <c r="H192" s="5" t="n">
        <f aca="false">'2026 transactions'!F304</f>
        <v>546.269757938648</v>
      </c>
    </row>
    <row r="193" customFormat="false" ht="15" hidden="false" customHeight="false" outlineLevel="0" collapsed="false">
      <c r="A193" s="6"/>
      <c r="B193" s="6"/>
      <c r="C193" s="6"/>
      <c r="D193" s="6"/>
      <c r="E193" s="6"/>
      <c r="F193" s="6"/>
      <c r="G193" s="4" t="n">
        <f aca="false">'2026 transactions'!A305</f>
        <v>46220</v>
      </c>
      <c r="H193" s="5" t="n">
        <f aca="false">'2026 transactions'!F305</f>
        <v>1485.46511627907</v>
      </c>
    </row>
    <row r="194" customFormat="false" ht="15" hidden="false" customHeight="false" outlineLevel="0" collapsed="false">
      <c r="A194" s="6"/>
      <c r="B194" s="6"/>
      <c r="C194" s="6"/>
      <c r="D194" s="6"/>
      <c r="E194" s="6"/>
      <c r="F194" s="6"/>
      <c r="G194" s="4" t="n">
        <f aca="false">'2026 transactions'!A311</f>
        <v>46224</v>
      </c>
      <c r="H194" s="5" t="n">
        <f aca="false">'2026 transactions'!F311</f>
        <v>220</v>
      </c>
    </row>
    <row r="195" customFormat="false" ht="15" hidden="false" customHeight="false" outlineLevel="0" collapsed="false">
      <c r="A195" s="6"/>
      <c r="B195" s="6"/>
      <c r="C195" s="6"/>
      <c r="D195" s="6"/>
      <c r="E195" s="6"/>
      <c r="F195" s="6"/>
      <c r="G195" s="4" t="n">
        <f aca="false">'2026 transactions'!A313</f>
        <v>46230</v>
      </c>
      <c r="H195" s="5" t="n">
        <f aca="false">'2026 transactions'!F313</f>
        <v>694.388804315894</v>
      </c>
    </row>
    <row r="196" customFormat="false" ht="15" hidden="false" customHeight="false" outlineLevel="0" collapsed="false">
      <c r="A196" s="6"/>
      <c r="B196" s="6"/>
      <c r="C196" s="6"/>
      <c r="D196" s="6"/>
      <c r="E196" s="6"/>
      <c r="F196" s="6"/>
      <c r="G196" s="4" t="n">
        <f aca="false">'2026 transactions'!A316</f>
        <v>46231</v>
      </c>
      <c r="H196" s="5" t="n">
        <f aca="false">'2026 transactions'!F316</f>
        <v>192.460317460317</v>
      </c>
    </row>
    <row r="197" customFormat="false" ht="15" hidden="false" customHeight="false" outlineLevel="0" collapsed="false">
      <c r="A197" s="6"/>
      <c r="B197" s="6"/>
      <c r="C197" s="6"/>
      <c r="D197" s="6"/>
      <c r="E197" s="6"/>
      <c r="F197" s="6"/>
      <c r="G197" s="4" t="n">
        <f aca="false">'2026 transactions'!A317</f>
        <v>46231</v>
      </c>
      <c r="H197" s="5" t="n">
        <f aca="false">'2026 transactions'!F317</f>
        <v>487.032752952636</v>
      </c>
    </row>
    <row r="198" customFormat="false" ht="15" hidden="false" customHeight="false" outlineLevel="0" collapsed="false">
      <c r="A198" s="6"/>
      <c r="B198" s="6"/>
      <c r="C198" s="6"/>
      <c r="D198" s="6"/>
      <c r="E198" s="6"/>
      <c r="F198" s="6"/>
      <c r="G198" s="4" t="n">
        <f aca="false">'2026 transactions'!A318</f>
        <v>46231</v>
      </c>
      <c r="H198" s="5" t="n">
        <f aca="false">'2026 transactions'!F318</f>
        <v>144</v>
      </c>
    </row>
    <row r="199" customFormat="false" ht="15" hidden="false" customHeight="false" outlineLevel="0" collapsed="false">
      <c r="A199" s="6"/>
      <c r="B199" s="6"/>
      <c r="C199" s="6"/>
      <c r="D199" s="6"/>
      <c r="E199" s="6"/>
      <c r="F199" s="6"/>
      <c r="G199" s="4" t="n">
        <f aca="false">'2026 transactions'!A319</f>
        <v>46232</v>
      </c>
      <c r="H199" s="5" t="n">
        <f aca="false">'2026 transactions'!F319</f>
        <v>1556.18199676008</v>
      </c>
    </row>
    <row r="200" customFormat="false" ht="15" hidden="false" customHeight="false" outlineLevel="0" collapsed="false">
      <c r="A200" s="6"/>
      <c r="B200" s="6"/>
      <c r="C200" s="6"/>
      <c r="D200" s="6"/>
      <c r="E200" s="6"/>
      <c r="F200" s="6"/>
      <c r="G200" s="4" t="n">
        <f aca="false">'2026 transactions'!A324</f>
        <v>46234</v>
      </c>
      <c r="H200" s="5" t="n">
        <f aca="false">'2026 transactions'!F324</f>
        <v>794.146009416303</v>
      </c>
    </row>
    <row r="201" customFormat="false" ht="15" hidden="false" customHeight="false" outlineLevel="0" collapsed="false">
      <c r="A201" s="6"/>
      <c r="B201" s="6"/>
      <c r="C201" s="6"/>
      <c r="D201" s="6"/>
      <c r="E201" s="6"/>
      <c r="F201" s="6"/>
      <c r="G201" s="4" t="n">
        <f aca="false">'2026 transactions'!A325</f>
        <v>46237</v>
      </c>
      <c r="H201" s="5" t="n">
        <f aca="false">'2026 transactions'!F325</f>
        <v>481.321341650703</v>
      </c>
    </row>
    <row r="202" customFormat="false" ht="15" hidden="false" customHeight="false" outlineLevel="0" collapsed="false">
      <c r="A202" s="6"/>
      <c r="B202" s="6"/>
      <c r="C202" s="6"/>
      <c r="D202" s="6"/>
      <c r="E202" s="6"/>
      <c r="F202" s="6"/>
      <c r="G202" s="4" t="n">
        <f aca="false">'2026 transactions'!A326</f>
        <v>46237</v>
      </c>
      <c r="H202" s="5" t="n">
        <f aca="false">'2026 transactions'!F326</f>
        <v>212.974184486352</v>
      </c>
    </row>
    <row r="203" customFormat="false" ht="15" hidden="false" customHeight="false" outlineLevel="0" collapsed="false">
      <c r="A203" s="6"/>
      <c r="B203" s="6"/>
      <c r="C203" s="6"/>
      <c r="D203" s="6"/>
      <c r="E203" s="6"/>
      <c r="F203" s="6"/>
      <c r="G203" s="4" t="n">
        <f aca="false">'2026 transactions'!A327</f>
        <v>46238</v>
      </c>
      <c r="H203" s="5" t="n">
        <f aca="false">'2026 transactions'!F327</f>
        <v>3388.15789473684</v>
      </c>
    </row>
    <row r="204" customFormat="false" ht="15" hidden="false" customHeight="false" outlineLevel="0" collapsed="false">
      <c r="A204" s="6"/>
      <c r="B204" s="6"/>
      <c r="C204" s="6"/>
      <c r="D204" s="6"/>
      <c r="E204" s="6"/>
      <c r="F204" s="6"/>
      <c r="G204" s="4" t="n">
        <f aca="false">'2026 transactions'!A328</f>
        <v>46239</v>
      </c>
      <c r="H204" s="5" t="n">
        <f aca="false">'2026 transactions'!F328</f>
        <v>441.718062403719</v>
      </c>
    </row>
    <row r="205" customFormat="false" ht="15" hidden="false" customHeight="false" outlineLevel="0" collapsed="false">
      <c r="A205" s="6"/>
      <c r="B205" s="6"/>
      <c r="C205" s="6"/>
      <c r="D205" s="6"/>
      <c r="E205" s="6"/>
      <c r="F205" s="6"/>
      <c r="G205" s="4" t="n">
        <f aca="false">'2026 transactions'!A330</f>
        <v>46240</v>
      </c>
      <c r="H205" s="5" t="n">
        <f aca="false">'2026 transactions'!F330</f>
        <v>1541.19114126097</v>
      </c>
    </row>
    <row r="206" customFormat="false" ht="15" hidden="false" customHeight="false" outlineLevel="0" collapsed="false">
      <c r="A206" s="6"/>
      <c r="B206" s="6"/>
      <c r="C206" s="6"/>
      <c r="D206" s="6"/>
      <c r="E206" s="6"/>
      <c r="F206" s="6"/>
      <c r="G206" s="4" t="n">
        <f aca="false">'2026 transactions'!A331</f>
        <v>46240</v>
      </c>
      <c r="H206" s="5" t="n">
        <f aca="false">'2026 transactions'!F331</f>
        <v>235.752357523575</v>
      </c>
    </row>
    <row r="207" customFormat="false" ht="15" hidden="false" customHeight="false" outlineLevel="0" collapsed="false">
      <c r="A207" s="6"/>
      <c r="B207" s="6"/>
      <c r="C207" s="6"/>
      <c r="D207" s="6"/>
      <c r="E207" s="6"/>
      <c r="F207" s="6"/>
      <c r="G207" s="4" t="n">
        <f aca="false">'2026 transactions'!A332</f>
        <v>46241</v>
      </c>
      <c r="H207" s="5" t="n">
        <f aca="false">'2026 transactions'!F332</f>
        <v>574.672028707501</v>
      </c>
    </row>
    <row r="208" customFormat="false" ht="15" hidden="false" customHeight="false" outlineLevel="0" collapsed="false">
      <c r="A208" s="6"/>
      <c r="B208" s="6"/>
      <c r="C208" s="6"/>
      <c r="D208" s="6"/>
      <c r="E208" s="6"/>
      <c r="F208" s="6"/>
      <c r="G208" s="4" t="n">
        <f aca="false">'2026 transactions'!A337</f>
        <v>46244</v>
      </c>
      <c r="H208" s="5" t="n">
        <f aca="false">'2026 transactions'!F337</f>
        <v>689.655172413793</v>
      </c>
    </row>
    <row r="209" customFormat="false" ht="15" hidden="false" customHeight="false" outlineLevel="0" collapsed="false">
      <c r="A209" s="6"/>
      <c r="B209" s="6"/>
      <c r="C209" s="6"/>
      <c r="D209" s="6"/>
      <c r="E209" s="6"/>
      <c r="F209" s="6"/>
      <c r="G209" s="4" t="n">
        <f aca="false">'2026 transactions'!A338</f>
        <v>46244</v>
      </c>
      <c r="H209" s="5" t="n">
        <f aca="false">'2026 transactions'!F338</f>
        <v>536.166573467978</v>
      </c>
    </row>
    <row r="210" customFormat="false" ht="15" hidden="false" customHeight="false" outlineLevel="0" collapsed="false">
      <c r="A210" s="6"/>
      <c r="B210" s="6"/>
      <c r="C210" s="6"/>
      <c r="D210" s="6"/>
      <c r="E210" s="6"/>
      <c r="F210" s="6"/>
      <c r="G210" s="4" t="n">
        <f aca="false">'2026 transactions'!A342</f>
        <v>46245</v>
      </c>
      <c r="H210" s="5" t="n">
        <f aca="false">'2026 transactions'!F342</f>
        <v>137.640486999179</v>
      </c>
    </row>
    <row r="211" customFormat="false" ht="15" hidden="false" customHeight="false" outlineLevel="0" collapsed="false">
      <c r="A211" s="6"/>
      <c r="B211" s="6"/>
      <c r="C211" s="6"/>
      <c r="D211" s="6"/>
      <c r="E211" s="6"/>
      <c r="F211" s="6"/>
      <c r="G211" s="4" t="n">
        <f aca="false">'2026 transactions'!A343</f>
        <v>46245</v>
      </c>
      <c r="H211" s="5" t="n">
        <f aca="false">'2026 transactions'!F343</f>
        <v>635.872280510515</v>
      </c>
    </row>
    <row r="212" customFormat="false" ht="15" hidden="false" customHeight="false" outlineLevel="0" collapsed="false">
      <c r="A212" s="6"/>
      <c r="B212" s="6"/>
      <c r="C212" s="6"/>
      <c r="D212" s="6"/>
      <c r="E212" s="6"/>
      <c r="F212" s="6"/>
      <c r="G212" s="4" t="n">
        <f aca="false">'2026 transactions'!A344</f>
        <v>46245</v>
      </c>
      <c r="H212" s="5" t="n">
        <f aca="false">'2026 transactions'!F344</f>
        <v>824.296923212554</v>
      </c>
    </row>
    <row r="213" customFormat="false" ht="15" hidden="false" customHeight="false" outlineLevel="0" collapsed="false">
      <c r="A213" s="6"/>
      <c r="B213" s="6"/>
      <c r="C213" s="6"/>
      <c r="D213" s="6"/>
      <c r="E213" s="6"/>
      <c r="F213" s="6"/>
      <c r="G213" s="4" t="n">
        <f aca="false">'2026 transactions'!A345</f>
        <v>46245</v>
      </c>
      <c r="H213" s="5" t="n">
        <f aca="false">'2026 transactions'!F345</f>
        <v>6041.22245913291</v>
      </c>
    </row>
    <row r="214" customFormat="false" ht="15" hidden="false" customHeight="false" outlineLevel="0" collapsed="false">
      <c r="A214" s="6"/>
      <c r="B214" s="6"/>
      <c r="C214" s="6"/>
      <c r="D214" s="6"/>
      <c r="E214" s="6"/>
      <c r="F214" s="6"/>
      <c r="G214" s="4" t="n">
        <f aca="false">'2026 transactions'!A346</f>
        <v>46245</v>
      </c>
      <c r="H214" s="5" t="n">
        <f aca="false">'2026 transactions'!F346</f>
        <v>2882.20551378446</v>
      </c>
    </row>
    <row r="215" customFormat="false" ht="15" hidden="false" customHeight="false" outlineLevel="0" collapsed="false">
      <c r="A215" s="6"/>
      <c r="B215" s="6"/>
      <c r="C215" s="6"/>
      <c r="D215" s="6"/>
      <c r="E215" s="6"/>
      <c r="F215" s="6"/>
      <c r="G215" s="4" t="n">
        <f aca="false">'2026 transactions'!A347</f>
        <v>46245</v>
      </c>
      <c r="H215" s="5" t="n">
        <f aca="false">'2026 transactions'!F347</f>
        <v>119.777158774373</v>
      </c>
    </row>
    <row r="216" customFormat="false" ht="15" hidden="false" customHeight="false" outlineLevel="0" collapsed="false">
      <c r="A216" s="6"/>
      <c r="B216" s="6"/>
      <c r="C216" s="6"/>
      <c r="D216" s="6"/>
      <c r="E216" s="6"/>
      <c r="F216" s="6"/>
      <c r="G216" s="4" t="n">
        <f aca="false">'2026 transactions'!A353</f>
        <v>46248</v>
      </c>
      <c r="H216" s="5" t="n">
        <f aca="false">'2026 transactions'!F353</f>
        <v>854.832895617694</v>
      </c>
    </row>
    <row r="217" customFormat="false" ht="15" hidden="false" customHeight="false" outlineLevel="0" collapsed="false">
      <c r="A217" s="6"/>
      <c r="B217" s="6"/>
      <c r="C217" s="6"/>
      <c r="D217" s="6"/>
      <c r="E217" s="6"/>
      <c r="F217" s="6"/>
      <c r="G217" s="4" t="n">
        <f aca="false">'2026 transactions'!A355</f>
        <v>46253</v>
      </c>
      <c r="H217" s="5" t="n">
        <f aca="false">'2026 transactions'!F355</f>
        <v>717.213114754098</v>
      </c>
    </row>
    <row r="218" customFormat="false" ht="15" hidden="false" customHeight="false" outlineLevel="0" collapsed="false">
      <c r="A218" s="6"/>
      <c r="B218" s="6"/>
      <c r="C218" s="6"/>
      <c r="D218" s="6"/>
      <c r="E218" s="6"/>
      <c r="F218" s="6"/>
      <c r="G218" s="4" t="n">
        <f aca="false">'2026 transactions'!A359</f>
        <v>46258</v>
      </c>
      <c r="H218" s="5" t="n">
        <f aca="false">'2026 transactions'!F359</f>
        <v>2304.34782608696</v>
      </c>
    </row>
    <row r="219" customFormat="false" ht="15" hidden="false" customHeight="false" outlineLevel="0" collapsed="false">
      <c r="A219" s="6"/>
      <c r="B219" s="6"/>
      <c r="C219" s="6"/>
      <c r="D219" s="6"/>
      <c r="E219" s="6"/>
      <c r="F219" s="6"/>
      <c r="G219" s="4" t="n">
        <f aca="false">'2026 transactions'!A361</f>
        <v>46260</v>
      </c>
      <c r="H219" s="5" t="n">
        <f aca="false">'2026 transactions'!F361</f>
        <v>1842.59670964873</v>
      </c>
    </row>
    <row r="220" customFormat="false" ht="15" hidden="false" customHeight="false" outlineLevel="0" collapsed="false">
      <c r="A220" s="6"/>
      <c r="B220" s="6"/>
      <c r="C220" s="6"/>
      <c r="D220" s="6"/>
      <c r="E220" s="6"/>
      <c r="F220" s="6"/>
      <c r="G220" s="4" t="n">
        <f aca="false">'2026 transactions'!A362</f>
        <v>46260</v>
      </c>
      <c r="H220" s="5" t="n">
        <f aca="false">'2026 transactions'!F362</f>
        <v>46.9001743582953</v>
      </c>
    </row>
    <row r="221" customFormat="false" ht="15" hidden="false" customHeight="false" outlineLevel="0" collapsed="false">
      <c r="A221" s="6"/>
      <c r="B221" s="6"/>
      <c r="C221" s="6"/>
      <c r="D221" s="6"/>
      <c r="E221" s="6"/>
      <c r="F221" s="6"/>
      <c r="G221" s="4" t="n">
        <f aca="false">'2026 transactions'!A363</f>
        <v>46261</v>
      </c>
      <c r="H221" s="5" t="n">
        <f aca="false">'2026 transactions'!F363</f>
        <v>563.90977443609</v>
      </c>
    </row>
    <row r="222" customFormat="false" ht="15" hidden="false" customHeight="false" outlineLevel="0" collapsed="false">
      <c r="A222" s="6"/>
      <c r="B222" s="6"/>
      <c r="C222" s="6"/>
      <c r="D222" s="6"/>
      <c r="E222" s="6"/>
      <c r="F222" s="6"/>
      <c r="G222" s="4" t="n">
        <f aca="false">'2026 transactions'!A365</f>
        <v>46261</v>
      </c>
      <c r="H222" s="5" t="n">
        <f aca="false">'2026 transactions'!F365</f>
        <v>7331.37829912023</v>
      </c>
    </row>
    <row r="223" customFormat="false" ht="15" hidden="false" customHeight="false" outlineLevel="0" collapsed="false">
      <c r="A223" s="6"/>
      <c r="B223" s="6"/>
      <c r="C223" s="6"/>
      <c r="D223" s="6"/>
      <c r="E223" s="6"/>
      <c r="F223" s="6"/>
      <c r="G223" s="4" t="n">
        <f aca="false">'2026 transactions'!A366</f>
        <v>46261</v>
      </c>
      <c r="H223" s="5" t="n">
        <f aca="false">'2026 transactions'!F366</f>
        <v>501.21359223301</v>
      </c>
    </row>
    <row r="224" customFormat="false" ht="15" hidden="false" customHeight="false" outlineLevel="0" collapsed="false">
      <c r="A224" s="6"/>
      <c r="B224" s="6"/>
      <c r="C224" s="6"/>
      <c r="D224" s="6"/>
      <c r="E224" s="6"/>
      <c r="F224" s="6"/>
      <c r="G224" s="4" t="n">
        <f aca="false">'2026 transactions'!A367</f>
        <v>46261</v>
      </c>
      <c r="H224" s="5" t="n">
        <f aca="false">'2026 transactions'!F367</f>
        <v>61.2699591533606</v>
      </c>
    </row>
    <row r="225" customFormat="false" ht="15" hidden="false" customHeight="false" outlineLevel="0" collapsed="false">
      <c r="A225" s="6"/>
      <c r="B225" s="6"/>
      <c r="C225" s="6"/>
      <c r="D225" s="6"/>
      <c r="E225" s="6"/>
      <c r="F225" s="6"/>
      <c r="G225" s="4" t="n">
        <f aca="false">'2026 transactions'!A370</f>
        <v>46262</v>
      </c>
      <c r="H225" s="5" t="n">
        <f aca="false">'2026 transactions'!F370</f>
        <v>700</v>
      </c>
    </row>
    <row r="226" customFormat="false" ht="15" hidden="false" customHeight="false" outlineLevel="0" collapsed="false">
      <c r="A226" s="6"/>
      <c r="B226" s="6"/>
      <c r="C226" s="6"/>
      <c r="D226" s="6"/>
      <c r="E226" s="6"/>
      <c r="F226" s="6"/>
      <c r="G226" s="4" t="n">
        <f aca="false">'2026 transactions'!A372</f>
        <v>46266</v>
      </c>
      <c r="H226" s="5" t="n">
        <f aca="false">'2026 transactions'!F372</f>
        <v>1200.58608058608</v>
      </c>
    </row>
    <row r="227" customFormat="false" ht="15" hidden="false" customHeight="false" outlineLevel="0" collapsed="false">
      <c r="A227" s="6"/>
      <c r="B227" s="6"/>
      <c r="C227" s="6"/>
      <c r="D227" s="6"/>
      <c r="E227" s="6"/>
      <c r="F227" s="6"/>
      <c r="G227" s="4" t="n">
        <f aca="false">'2026 transactions'!A374</f>
        <v>46268</v>
      </c>
      <c r="H227" s="5" t="n">
        <f aca="false">'2026 transactions'!F374</f>
        <v>1119.04761904762</v>
      </c>
    </row>
    <row r="228" customFormat="false" ht="15" hidden="false" customHeight="false" outlineLevel="0" collapsed="false">
      <c r="A228" s="6"/>
      <c r="B228" s="6"/>
      <c r="C228" s="6"/>
      <c r="D228" s="6"/>
      <c r="E228" s="6"/>
      <c r="F228" s="6"/>
      <c r="G228" s="4" t="n">
        <f aca="false">'2026 transactions'!A375</f>
        <v>46268</v>
      </c>
      <c r="H228" s="5" t="n">
        <f aca="false">'2026 transactions'!F375</f>
        <v>52.8349699595435</v>
      </c>
    </row>
    <row r="229" customFormat="false" ht="15" hidden="false" customHeight="false" outlineLevel="0" collapsed="false">
      <c r="A229" s="6"/>
      <c r="B229" s="6"/>
      <c r="C229" s="6"/>
      <c r="D229" s="6"/>
      <c r="E229" s="6"/>
      <c r="F229" s="6"/>
      <c r="G229" s="4" t="n">
        <f aca="false">'2026 transactions'!A376</f>
        <v>46268</v>
      </c>
      <c r="H229" s="5" t="n">
        <f aca="false">'2026 transactions'!F376</f>
        <v>348.729555555556</v>
      </c>
    </row>
    <row r="230" customFormat="false" ht="15" hidden="false" customHeight="false" outlineLevel="0" collapsed="false">
      <c r="A230" s="6"/>
      <c r="B230" s="6"/>
      <c r="C230" s="6"/>
      <c r="D230" s="6"/>
      <c r="E230" s="6"/>
      <c r="F230" s="6"/>
      <c r="G230" s="4" t="n">
        <f aca="false">'2026 transactions'!A377</f>
        <v>46268</v>
      </c>
      <c r="H230" s="5" t="n">
        <f aca="false">'2026 transactions'!F377</f>
        <v>132.48995640653</v>
      </c>
    </row>
    <row r="231" customFormat="false" ht="15" hidden="false" customHeight="false" outlineLevel="0" collapsed="false">
      <c r="A231" s="6"/>
      <c r="B231" s="6"/>
      <c r="C231" s="6"/>
      <c r="D231" s="6"/>
      <c r="E231" s="6"/>
      <c r="F231" s="6"/>
      <c r="G231" s="4" t="n">
        <f aca="false">'2026 transactions'!A378</f>
        <v>46268</v>
      </c>
      <c r="H231" s="5" t="n">
        <f aca="false">'2026 transactions'!F378</f>
        <v>840.950639853748</v>
      </c>
    </row>
    <row r="232" customFormat="false" ht="15" hidden="false" customHeight="false" outlineLevel="0" collapsed="false">
      <c r="A232" s="6"/>
      <c r="B232" s="6"/>
      <c r="C232" s="6"/>
      <c r="D232" s="6"/>
      <c r="E232" s="6"/>
      <c r="F232" s="6"/>
      <c r="G232" s="4" t="n">
        <f aca="false">'2026 transactions'!A379</f>
        <v>46268</v>
      </c>
      <c r="H232" s="5" t="n">
        <f aca="false">'2026 transactions'!F379</f>
        <v>811.965811965812</v>
      </c>
    </row>
    <row r="233" customFormat="false" ht="15" hidden="false" customHeight="false" outlineLevel="0" collapsed="false">
      <c r="A233" s="6"/>
      <c r="B233" s="6"/>
      <c r="C233" s="6"/>
      <c r="D233" s="6"/>
      <c r="E233" s="6"/>
      <c r="F233" s="6"/>
      <c r="G233" s="4" t="n">
        <f aca="false">'2026 transactions'!A380</f>
        <v>46268</v>
      </c>
      <c r="H233" s="5" t="n">
        <f aca="false">'2026 transactions'!F380</f>
        <v>757.575757575758</v>
      </c>
    </row>
    <row r="234" customFormat="false" ht="15" hidden="false" customHeight="false" outlineLevel="0" collapsed="false">
      <c r="A234" s="6"/>
      <c r="B234" s="6"/>
      <c r="C234" s="6"/>
      <c r="D234" s="6"/>
      <c r="E234" s="6"/>
      <c r="F234" s="6"/>
      <c r="G234" s="4" t="n">
        <f aca="false">'2026 transactions'!A384</f>
        <v>46269</v>
      </c>
      <c r="H234" s="5" t="n">
        <f aca="false">'2026 transactions'!F384</f>
        <v>468.421052631579</v>
      </c>
    </row>
    <row r="235" customFormat="false" ht="15" hidden="false" customHeight="false" outlineLevel="0" collapsed="false">
      <c r="A235" s="6"/>
      <c r="B235" s="6"/>
      <c r="C235" s="6"/>
      <c r="D235" s="6"/>
      <c r="E235" s="6"/>
      <c r="F235" s="6"/>
      <c r="G235" s="4" t="n">
        <f aca="false">'2026 transactions'!A385</f>
        <v>46273</v>
      </c>
      <c r="H235" s="5" t="n">
        <f aca="false">'2026 transactions'!F385</f>
        <v>1857.13418704861</v>
      </c>
    </row>
    <row r="236" customFormat="false" ht="15" hidden="false" customHeight="false" outlineLevel="0" collapsed="false">
      <c r="A236" s="6"/>
      <c r="B236" s="6"/>
      <c r="C236" s="6"/>
      <c r="D236" s="6"/>
      <c r="E236" s="6"/>
      <c r="F236" s="6"/>
      <c r="G236" s="4" t="n">
        <f aca="false">'2026 transactions'!A386</f>
        <v>46273</v>
      </c>
      <c r="H236" s="5" t="n">
        <f aca="false">'2026 transactions'!F386</f>
        <v>1784.73866326716</v>
      </c>
    </row>
    <row r="237" customFormat="false" ht="15" hidden="false" customHeight="false" outlineLevel="0" collapsed="false">
      <c r="A237" s="6"/>
      <c r="B237" s="6"/>
      <c r="C237" s="6"/>
      <c r="D237" s="6"/>
      <c r="E237" s="6"/>
      <c r="F237" s="6"/>
      <c r="G237" s="4" t="n">
        <f aca="false">'2026 transactions'!A390</f>
        <v>46274</v>
      </c>
      <c r="H237" s="5" t="n">
        <f aca="false">'2026 transactions'!F390</f>
        <v>244.081385404789</v>
      </c>
    </row>
    <row r="238" customFormat="false" ht="15" hidden="false" customHeight="false" outlineLevel="0" collapsed="false">
      <c r="A238" s="6"/>
      <c r="B238" s="6"/>
      <c r="C238" s="6"/>
      <c r="D238" s="6"/>
      <c r="E238" s="6"/>
      <c r="F238" s="6"/>
      <c r="G238" s="4" t="n">
        <f aca="false">'2026 transactions'!A391</f>
        <v>46275</v>
      </c>
      <c r="H238" s="5" t="n">
        <f aca="false">'2026 transactions'!F391</f>
        <v>501.493679836531</v>
      </c>
    </row>
    <row r="239" customFormat="false" ht="15" hidden="false" customHeight="false" outlineLevel="0" collapsed="false">
      <c r="A239" s="6"/>
      <c r="B239" s="6"/>
      <c r="C239" s="6"/>
      <c r="D239" s="6"/>
      <c r="E239" s="6"/>
      <c r="F239" s="6"/>
      <c r="G239" s="4" t="n">
        <f aca="false">'2026 transactions'!A392</f>
        <v>46275</v>
      </c>
      <c r="H239" s="5" t="n">
        <f aca="false">'2026 transactions'!F392</f>
        <v>111.372549019608</v>
      </c>
    </row>
    <row r="240" customFormat="false" ht="15" hidden="false" customHeight="false" outlineLevel="0" collapsed="false">
      <c r="A240" s="6"/>
      <c r="B240" s="6"/>
      <c r="C240" s="6"/>
      <c r="D240" s="6"/>
      <c r="E240" s="6"/>
      <c r="F240" s="6"/>
      <c r="G240" s="4" t="n">
        <f aca="false">'2026 transactions'!A393</f>
        <v>46276</v>
      </c>
      <c r="H240" s="5" t="n">
        <f aca="false">'2026 transactions'!F393</f>
        <v>909.530882328399</v>
      </c>
    </row>
    <row r="241" customFormat="false" ht="15" hidden="false" customHeight="false" outlineLevel="0" collapsed="false">
      <c r="A241" s="6"/>
      <c r="B241" s="6"/>
      <c r="C241" s="6"/>
      <c r="D241" s="6"/>
      <c r="E241" s="6"/>
      <c r="F241" s="6"/>
      <c r="G241" s="4" t="n">
        <f aca="false">'2026 transactions'!A394</f>
        <v>46276</v>
      </c>
      <c r="H241" s="5" t="n">
        <f aca="false">'2026 transactions'!F394</f>
        <v>250.545831991124</v>
      </c>
    </row>
    <row r="242" customFormat="false" ht="15" hidden="false" customHeight="false" outlineLevel="0" collapsed="false">
      <c r="A242" s="6"/>
      <c r="B242" s="6"/>
      <c r="C242" s="6"/>
      <c r="D242" s="6"/>
      <c r="E242" s="6"/>
      <c r="F242" s="6"/>
      <c r="G242" s="4" t="n">
        <f aca="false">'2026 transactions'!A395</f>
        <v>46276</v>
      </c>
      <c r="H242" s="5" t="n">
        <f aca="false">'2026 transactions'!F395</f>
        <v>485.714285714286</v>
      </c>
    </row>
    <row r="243" customFormat="false" ht="15" hidden="false" customHeight="false" outlineLevel="0" collapsed="false">
      <c r="A243" s="6"/>
      <c r="B243" s="6"/>
      <c r="C243" s="6"/>
      <c r="D243" s="6"/>
      <c r="E243" s="6"/>
      <c r="F243" s="6"/>
      <c r="G243" s="4" t="n">
        <f aca="false">'2026 transactions'!A397</f>
        <v>46279</v>
      </c>
      <c r="H243" s="5" t="n">
        <f aca="false">'2026 transactions'!F397</f>
        <v>2463.25118893212</v>
      </c>
    </row>
    <row r="244" customFormat="false" ht="15" hidden="false" customHeight="false" outlineLevel="0" collapsed="false">
      <c r="A244" s="6"/>
      <c r="B244" s="6"/>
      <c r="C244" s="6"/>
      <c r="D244" s="6"/>
      <c r="E244" s="6"/>
      <c r="F244" s="6"/>
      <c r="G244" s="4" t="n">
        <f aca="false">'2026 transactions'!A400</f>
        <v>46282</v>
      </c>
      <c r="H244" s="5" t="n">
        <f aca="false">'2026 transactions'!F400</f>
        <v>1055.55555555556</v>
      </c>
    </row>
    <row r="245" customFormat="false" ht="15" hidden="false" customHeight="false" outlineLevel="0" collapsed="false">
      <c r="A245" s="6"/>
      <c r="B245" s="6"/>
      <c r="C245" s="6"/>
      <c r="D245" s="6"/>
      <c r="E245" s="6"/>
      <c r="F245" s="6"/>
      <c r="G245" s="4" t="n">
        <f aca="false">'2026 transactions'!A401</f>
        <v>46282</v>
      </c>
      <c r="H245" s="5" t="n">
        <f aca="false">'2026 transactions'!F401</f>
        <v>967.774797106863</v>
      </c>
    </row>
    <row r="246" customFormat="false" ht="15" hidden="false" customHeight="false" outlineLevel="0" collapsed="false">
      <c r="A246" s="6"/>
      <c r="B246" s="6"/>
      <c r="C246" s="6"/>
      <c r="D246" s="6"/>
      <c r="E246" s="6"/>
      <c r="F246" s="6"/>
      <c r="G246" s="4" t="n">
        <f aca="false">'2026 transactions'!A402</f>
        <v>46282</v>
      </c>
      <c r="H246" s="5" t="n">
        <f aca="false">'2026 transactions'!F402</f>
        <v>1088.9651531151</v>
      </c>
    </row>
    <row r="247" customFormat="false" ht="15" hidden="false" customHeight="false" outlineLevel="0" collapsed="false">
      <c r="A247" s="6"/>
      <c r="B247" s="6"/>
      <c r="C247" s="6"/>
      <c r="D247" s="6"/>
      <c r="E247" s="6"/>
      <c r="F247" s="6"/>
      <c r="G247" s="4" t="n">
        <f aca="false">'2026 transactions'!A403</f>
        <v>46282</v>
      </c>
      <c r="H247" s="5" t="n">
        <f aca="false">'2026 transactions'!F403</f>
        <v>99.9019711907691</v>
      </c>
    </row>
    <row r="248" customFormat="false" ht="15" hidden="false" customHeight="false" outlineLevel="0" collapsed="false">
      <c r="A248" s="6"/>
      <c r="B248" s="6"/>
      <c r="C248" s="6"/>
      <c r="D248" s="6"/>
      <c r="E248" s="6"/>
      <c r="F248" s="6"/>
      <c r="G248" s="4" t="n">
        <f aca="false">'2026 transactions'!A405</f>
        <v>46282</v>
      </c>
      <c r="H248" s="5" t="n">
        <f aca="false">'2026 transactions'!F405</f>
        <v>2416.67982941084</v>
      </c>
    </row>
    <row r="249" customFormat="false" ht="15" hidden="false" customHeight="false" outlineLevel="0" collapsed="false">
      <c r="A249" s="6"/>
      <c r="B249" s="6"/>
      <c r="C249" s="6"/>
      <c r="D249" s="6"/>
      <c r="E249" s="6"/>
      <c r="F249" s="6"/>
      <c r="G249" s="4" t="n">
        <f aca="false">'2026 transactions'!A406</f>
        <v>46282</v>
      </c>
      <c r="H249" s="5" t="n">
        <f aca="false">'2026 transactions'!F406</f>
        <v>3416.66666666667</v>
      </c>
    </row>
    <row r="250" customFormat="false" ht="15" hidden="false" customHeight="false" outlineLevel="0" collapsed="false">
      <c r="A250" s="6"/>
      <c r="B250" s="6"/>
      <c r="C250" s="6"/>
      <c r="D250" s="6"/>
      <c r="E250" s="6"/>
      <c r="F250" s="6"/>
      <c r="G250" s="4" t="n">
        <f aca="false">'2026 transactions'!A407</f>
        <v>46282</v>
      </c>
      <c r="H250" s="5" t="n">
        <f aca="false">'2026 transactions'!F407</f>
        <v>1031.60568546538</v>
      </c>
    </row>
    <row r="251" customFormat="false" ht="15" hidden="false" customHeight="false" outlineLevel="0" collapsed="false">
      <c r="A251" s="6"/>
      <c r="B251" s="6"/>
      <c r="C251" s="6"/>
      <c r="D251" s="6"/>
      <c r="E251" s="6"/>
      <c r="F251" s="6"/>
      <c r="G251" s="4" t="n">
        <f aca="false">'2026 transactions'!A408</f>
        <v>46282</v>
      </c>
      <c r="H251" s="5" t="n">
        <f aca="false">'2026 transactions'!F408</f>
        <v>378.356387306753</v>
      </c>
    </row>
    <row r="252" customFormat="false" ht="15" hidden="false" customHeight="false" outlineLevel="0" collapsed="false">
      <c r="A252" s="6"/>
      <c r="B252" s="6"/>
      <c r="C252" s="6"/>
      <c r="D252" s="6"/>
      <c r="E252" s="6"/>
      <c r="F252" s="6"/>
      <c r="G252" s="4" t="n">
        <f aca="false">'2026 transactions'!A412</f>
        <v>46283</v>
      </c>
      <c r="H252" s="5" t="n">
        <f aca="false">'2026 transactions'!F412</f>
        <v>2526.31578947368</v>
      </c>
    </row>
    <row r="253" customFormat="false" ht="15" hidden="false" customHeight="false" outlineLevel="0" collapsed="false">
      <c r="A253" s="6"/>
      <c r="B253" s="6"/>
      <c r="C253" s="6"/>
      <c r="D253" s="6"/>
      <c r="E253" s="6"/>
      <c r="F253" s="6"/>
      <c r="G253" s="4" t="n">
        <f aca="false">'2026 transactions'!A416</f>
        <v>46287</v>
      </c>
      <c r="H253" s="5" t="n">
        <f aca="false">'2026 transactions'!F416</f>
        <v>489.795918367347</v>
      </c>
    </row>
    <row r="254" customFormat="false" ht="15" hidden="false" customHeight="false" outlineLevel="0" collapsed="false">
      <c r="A254" s="6"/>
      <c r="B254" s="6"/>
      <c r="C254" s="6"/>
      <c r="D254" s="6"/>
      <c r="E254" s="6"/>
      <c r="F254" s="6"/>
      <c r="G254" s="4" t="n">
        <f aca="false">'2026 transactions'!A418</f>
        <v>46289</v>
      </c>
      <c r="H254" s="5" t="n">
        <f aca="false">'2026 transactions'!F418</f>
        <v>416.666666666667</v>
      </c>
    </row>
    <row r="255" customFormat="false" ht="15" hidden="false" customHeight="false" outlineLevel="0" collapsed="false">
      <c r="A255" s="6"/>
      <c r="B255" s="6"/>
      <c r="C255" s="6"/>
      <c r="D255" s="6"/>
      <c r="E255" s="6"/>
      <c r="F255" s="6"/>
      <c r="G255" s="4" t="n">
        <f aca="false">'2026 transactions'!A423</f>
        <v>46294</v>
      </c>
      <c r="H255" s="5" t="n">
        <f aca="false">'2026 transactions'!F423</f>
        <v>433.911882510013</v>
      </c>
    </row>
    <row r="256" customFormat="false" ht="15" hidden="false" customHeight="false" outlineLevel="0" collapsed="false">
      <c r="A256" s="6"/>
      <c r="B256" s="6"/>
      <c r="C256" s="6"/>
      <c r="D256" s="6"/>
      <c r="E256" s="6"/>
      <c r="F256" s="6"/>
      <c r="G256" s="4" t="n">
        <f aca="false">'2026 transactions'!A426</f>
        <v>46295</v>
      </c>
      <c r="H256" s="5" t="n">
        <f aca="false">'2026 transactions'!F426</f>
        <v>83.469610248024</v>
      </c>
    </row>
  </sheetData>
  <printOptions headings="false" gridLines="false" gridLinesSet="true" horizontalCentered="false" verticalCentered="false"/>
  <pageMargins left="0.4" right="0.4" top="0.4" bottom="0.4"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21</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2026-10-25T21:20:28Z</dcterms:modified>
  <cp:revision>3</cp:revision>
  <dc:subject/>
  <dc:title/>
</cp:coreProperties>
</file>