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<sst xmlns="http://schemas.openxmlformats.org/spreadsheetml/2006/main" count="51" uniqueCount="46">
  <si>
    <t xml:space="preserve">Mayflower Hotel</t>
  </si>
  <si>
    <t xml:space="preserve">1127 Connecticut Avenue NW, Washington, DC 20036</t>
  </si>
  <si>
    <t xml:space="preserve">Site</t>
  </si>
  <si>
    <t xml:space="preserve">https://www.themayflowerhotel.com/</t>
  </si>
  <si>
    <t xml:space="preserve">Photos</t>
  </si>
  <si>
    <t xml:space="preserve">https://www.google.com/search?tbm=isch&amp;q=Mayflower+Hotel+1127+Connecticut+Avenue+Washington+DC</t>
  </si>
  <si>
    <t xml:space="preserve">Washington State lodging seasonality</t>
  </si>
  <si>
    <t xml:space="preserve">Quarter</t>
  </si>
  <si>
    <t xml:space="preserve">Q1</t>
  </si>
  <si>
    <t xml:space="preserve">Q2</t>
  </si>
  <si>
    <t xml:space="preserve">Q3</t>
  </si>
  <si>
    <t xml:space="preserve">Q4</t>
  </si>
  <si>
    <t xml:space="preserve">Index</t>
  </si>
  <si>
    <t xml:space="preserve">Share of year</t>
  </si>
  <si>
    <t xml:space="preserve">PROFIT LOSS ESTIMATE</t>
  </si>
  <si>
    <t xml:space="preserve">Full year</t>
  </si>
  <si>
    <t xml:space="preserve">Revenue</t>
  </si>
  <si>
    <t xml:space="preserve">Operating expense</t>
  </si>
  <si>
    <t xml:space="preserve">Operating earnings</t>
  </si>
  <si>
    <t xml:space="preserve">Variable cost per dollar of revenue</t>
  </si>
  <si>
    <t xml:space="preserve">Fixed cost per quarter</t>
  </si>
  <si>
    <t xml:space="preserve">Q3 and Q4 revenue from that index</t>
  </si>
  <si>
    <t xml:space="preserve">Level implied by Q1</t>
  </si>
  <si>
    <t xml:space="preserve">Level implied by Q2</t>
  </si>
  <si>
    <t xml:space="preserve">Average level, a normal Q1</t>
  </si>
  <si>
    <t xml:space="preserve">Valuation</t>
  </si>
  <si>
    <t xml:space="preserve">Scenario</t>
  </si>
  <si>
    <t xml:space="preserve">Discount rate</t>
  </si>
  <si>
    <t xml:space="preserve">Full-year earnings</t>
  </si>
  <si>
    <t xml:space="preserve">Premium to book</t>
  </si>
  <si>
    <t xml:space="preserve">9.5% discount, seasonal year</t>
  </si>
  <si>
    <t xml:space="preserve">HIGH</t>
  </si>
  <si>
    <t xml:space="preserve">10.5% discount, seasonal year</t>
  </si>
  <si>
    <t xml:space="preserve">LOW</t>
  </si>
  <si>
    <t xml:space="preserve">Net book, December 31, 2025</t>
  </si>
  <si>
    <t xml:space="preserve">BOOK</t>
  </si>
  <si>
    <t xml:space="preserve">acquired in 2021 by deed-in-lieu, fair value</t>
  </si>
  <si>
    <t xml:space="preserve">(after depreciation)</t>
  </si>
  <si>
    <t xml:space="preserve">They do not report a rebrand, a renovation budget, or a current market value.</t>
  </si>
  <si>
    <t xml:space="preserve">Notes</t>
  </si>
  <si>
    <t xml:space="preserve">Operating earnings are room, food, and other hotel revenue minus operating expense, before depreciation and before interest.The company points to the seasonality of hotel operations. The second-quarter result before depreciation was $6.4 million above the first quarter.</t>
  </si>
  <si>
    <t xml:space="preserve">The seasonal index is Washington State taxable lodging sales, NAICS 721, from the Department of Revenue Quarterly Business Review, Table 6. For each of 2015–2019, 2023, and 2025, each quarter is divided by that year’s average quarter. Those factors are averaged, then rescaled so Q1 is 100. The unrounded index is 100, 146.7, 184.5, and 114.9. Those quarters are 18.3%, 26.9%, 33.8%, and 21.0% of the year. Q1 is January–March, Q2 April–June, Q3 July–September, and Q4 October–December.</t>
  </si>
  <si>
    <t xml:space="preserve">2020 and 2021 are left out because closures broke the pattern. 2022 is left out because January–March was still weak, which inflates the later quarters when they are measured against Q1. The 2024 third- and fourth-quarter Table 6 accommodation rows repeat the second quarter, so 2024 is not in the average. Gross business income for the same industry in 2024, published on a separate table, was 100, 148, 186, and 118 against that year’s own first quarter.</t>
  </si>
  <si>
    <t xml:space="preserve">The Mayflower is in Washington, D.C. This index is the state of Washington, where summer is the peak. A District hotel more often peaks in the spring and the fall. The Q3 and Q4 figures still use the state index, because that is the seasonal pattern assembled for this estimate.</t>
  </si>
  <si>
    <t xml:space="preserve">Operating expense in the two reported quarters rose $3.0 million while revenue rose $9.4 million, so about 32 cents of each extra revenue dollar went to cost. The rest of the first-quarter expense, about $8.0 million, is treated as fixed in every quarter. Q3 and Q4 earnings are revenue minus that fixed cost minus 32 cents per revenue dollar. The seasonal valuation divides those full-year earnings by 9.5% and by 10.5%.</t>
  </si>
  <si>
    <t xml:space="preserve">Source for the hotel figures: Note 5 and the MD&amp;A of the June 30, 2026 Form 10-Q, and Schedule III of the 2025 Form 10-K. Source for the index: Washington Department of Revenue, statewide taxable retail sales, accommodations.</t>
  </si>
</sst>
</file>

<file path=xl/styles.xml><?xml version="1.0" encoding="utf-8"?>
<styleSheet xmlns="http://schemas.openxmlformats.org/spreadsheetml/2006/main">
  <numFmts count="4">
    <numFmt numFmtId="164" formatCode="General"/>
    <numFmt numFmtId="165" formatCode="0%"/>
    <numFmt numFmtId="166" formatCode="0.0"/>
    <numFmt numFmtId="167" formatCode="0.0%"/>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6">
    <fill>
      <patternFill patternType="none"/>
    </fill>
    <fill>
      <patternFill patternType="gray125"/>
    </fill>
    <fill>
      <patternFill patternType="solid">
        <fgColor rgb="FFB4C7DC"/>
        <bgColor rgb="FFCCCCCC"/>
      </patternFill>
    </fill>
    <fill>
      <patternFill patternType="solid">
        <fgColor rgb="FFCCCCCC"/>
        <bgColor rgb="FFE0C2CD"/>
      </patternFill>
    </fill>
    <fill>
      <patternFill patternType="solid">
        <fgColor rgb="FFE0C2CD"/>
        <bgColor rgb="FFCCCCCC"/>
      </patternFill>
    </fill>
    <fill>
      <patternFill patternType="solid">
        <fgColor rgb="FFAFD095"/>
        <bgColor rgb="FFCCCCCC"/>
      </patternFill>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right"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6" fontId="0" fillId="0" borderId="1" xfId="0" applyFont="fals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6" fontId="4"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B4C7DC"/>
      <rgbColor rgb="FF000080"/>
      <rgbColor rgb="FFFF00FF"/>
      <rgbColor rgb="FFFFFF00"/>
      <rgbColor rgb="FF00FFFF"/>
      <rgbColor rgb="FF800080"/>
      <rgbColor rgb="FF800000"/>
      <rgbColor rgb="FF008080"/>
      <rgbColor rgb="FF0000FF"/>
      <rgbColor rgb="FF00CCFF"/>
      <rgbColor rgb="FFCCFFFF"/>
      <rgbColor rgb="FFCCFFCC"/>
      <rgbColor rgb="FFFFFF99"/>
      <rgbColor rgb="FFAFD095"/>
      <rgbColor rgb="FFFF99CC"/>
      <rgbColor rgb="FFCC99FF"/>
      <rgbColor rgb="FFE0C2C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32" activeCellId="0" sqref="D32"/>
    </sheetView>
  </sheetViews>
  <sheetFormatPr defaultColWidth="11.53515625" defaultRowHeight="12.8" customHeight="false" zeroHeight="false" outlineLevelRow="0" outlineLevelCol="0"/>
  <cols>
    <col collapsed="false" customWidth="true" hidden="false" outlineLevel="0" max="1" min="1" style="1" width="34.36"/>
  </cols>
  <sheetData>
    <row r="1" customFormat="false" ht="12.8" hidden="false" customHeight="false" outlineLevel="0" collapsed="false">
      <c r="A1" s="2" t="s">
        <v>0</v>
      </c>
      <c r="B1" s="3"/>
      <c r="C1" s="3"/>
      <c r="D1" s="3"/>
      <c r="E1" s="3"/>
      <c r="F1" s="3"/>
    </row>
    <row r="2" customFormat="false" ht="12.8" hidden="false" customHeight="false" outlineLevel="0" collapsed="false">
      <c r="A2" s="4" t="s">
        <v>1</v>
      </c>
    </row>
    <row r="3" customFormat="false" ht="12.8" hidden="false" customHeight="false" outlineLevel="0" collapsed="false">
      <c r="A3" s="4" t="s">
        <v>2</v>
      </c>
      <c r="B3" s="4" t="s">
        <v>3</v>
      </c>
    </row>
    <row r="4" customFormat="false" ht="12.8" hidden="false" customHeight="false" outlineLevel="0" collapsed="false">
      <c r="A4" s="4" t="s">
        <v>4</v>
      </c>
      <c r="B4" s="4" t="s">
        <v>5</v>
      </c>
    </row>
    <row r="7" customFormat="false" ht="12.8" hidden="false" customHeight="false" outlineLevel="0" collapsed="false">
      <c r="A7" s="2" t="s">
        <v>6</v>
      </c>
      <c r="B7" s="5"/>
      <c r="C7" s="5"/>
      <c r="D7" s="5"/>
      <c r="E7" s="5"/>
      <c r="F7" s="3"/>
    </row>
    <row r="8" customFormat="false" ht="12.8" hidden="false" customHeight="false" outlineLevel="0" collapsed="false">
      <c r="A8" s="6" t="s">
        <v>7</v>
      </c>
      <c r="B8" s="7" t="s">
        <v>8</v>
      </c>
      <c r="C8" s="7" t="s">
        <v>9</v>
      </c>
      <c r="D8" s="7" t="s">
        <v>10</v>
      </c>
      <c r="E8" s="7" t="s">
        <v>11</v>
      </c>
    </row>
    <row r="9" customFormat="false" ht="12.8" hidden="false" customHeight="false" outlineLevel="0" collapsed="false">
      <c r="A9" s="6" t="s">
        <v>12</v>
      </c>
      <c r="B9" s="4" t="n">
        <v>100</v>
      </c>
      <c r="C9" s="4" t="n">
        <v>146.7</v>
      </c>
      <c r="D9" s="4" t="n">
        <v>184.5</v>
      </c>
      <c r="E9" s="4" t="n">
        <v>114.9</v>
      </c>
    </row>
    <row r="10" customFormat="false" ht="12.8" hidden="false" customHeight="false" outlineLevel="0" collapsed="false">
      <c r="A10" s="6" t="s">
        <v>13</v>
      </c>
      <c r="B10" s="8" t="n">
        <f aca="false">B9/SUM($B$9:$E$9)</f>
        <v>0.183116645303058</v>
      </c>
      <c r="C10" s="8" t="n">
        <f aca="false">C9/SUM($B$9:$E$9)</f>
        <v>0.268632118659586</v>
      </c>
      <c r="D10" s="8" t="n">
        <f aca="false">D9/SUM($B$9:$E$9)</f>
        <v>0.337850210584142</v>
      </c>
      <c r="E10" s="8" t="n">
        <f aca="false">E9/SUM($B$9:$E$9)</f>
        <v>0.210401025453214</v>
      </c>
      <c r="F10" s="8"/>
    </row>
    <row r="11" customFormat="false" ht="12.8" hidden="false" customHeight="false" outlineLevel="0" collapsed="false">
      <c r="C11" s="4"/>
    </row>
    <row r="12" customFormat="false" ht="12.8" hidden="false" customHeight="false" outlineLevel="0" collapsed="false">
      <c r="A12" s="2" t="s">
        <v>14</v>
      </c>
      <c r="B12" s="2" t="s">
        <v>8</v>
      </c>
      <c r="C12" s="2" t="s">
        <v>9</v>
      </c>
      <c r="D12" s="2" t="s">
        <v>10</v>
      </c>
      <c r="E12" s="2" t="s">
        <v>11</v>
      </c>
      <c r="F12" s="2" t="s">
        <v>15</v>
      </c>
    </row>
    <row r="13" customFormat="false" ht="12.8" hidden="false" customHeight="false" outlineLevel="0" collapsed="false">
      <c r="A13" s="4" t="s">
        <v>16</v>
      </c>
      <c r="B13" s="9" t="n">
        <v>14.2</v>
      </c>
      <c r="C13" s="9" t="n">
        <v>23.6</v>
      </c>
      <c r="D13" s="10" t="n">
        <f aca="false">$B$23*D9/100</f>
        <v>27.939990797546</v>
      </c>
      <c r="E13" s="10" t="n">
        <f aca="false">$B$23*E9/100</f>
        <v>17.4000267893661</v>
      </c>
      <c r="F13" s="10" t="n">
        <f aca="false">SUM(B13:E13)</f>
        <v>83.1400175869121</v>
      </c>
    </row>
    <row r="14" customFormat="false" ht="12.8" hidden="false" customHeight="false" outlineLevel="0" collapsed="false">
      <c r="A14" s="11" t="s">
        <v>17</v>
      </c>
      <c r="B14" s="12" t="n">
        <v>12.5</v>
      </c>
      <c r="C14" s="12" t="n">
        <v>15.5</v>
      </c>
      <c r="D14" s="13" t="n">
        <f aca="false">$B$18+$B$17*D13</f>
        <v>16.8851034460253</v>
      </c>
      <c r="E14" s="13" t="n">
        <f aca="false">$B$18+$B$17*E13</f>
        <v>13.5212851455424</v>
      </c>
      <c r="F14" s="13" t="n">
        <f aca="false">SUM(B14:E14)</f>
        <v>58.4063885915677</v>
      </c>
    </row>
    <row r="15" customFormat="false" ht="12.8" hidden="false" customHeight="false" outlineLevel="0" collapsed="false">
      <c r="A15" s="4" t="s">
        <v>18</v>
      </c>
      <c r="B15" s="14" t="n">
        <f aca="false">B13-B14</f>
        <v>1.7</v>
      </c>
      <c r="C15" s="14" t="n">
        <f aca="false">C13-C14</f>
        <v>8.1</v>
      </c>
      <c r="D15" s="10" t="n">
        <f aca="false">D13-D14</f>
        <v>11.0548873515207</v>
      </c>
      <c r="E15" s="10" t="n">
        <f aca="false">E13-E14</f>
        <v>3.87874164382369</v>
      </c>
      <c r="F15" s="15" t="n">
        <f aca="false">F13-F14</f>
        <v>24.7336289953444</v>
      </c>
    </row>
    <row r="17" customFormat="false" ht="12.8" hidden="false" customHeight="false" outlineLevel="0" collapsed="false">
      <c r="A17" s="4" t="s">
        <v>19</v>
      </c>
      <c r="B17" s="4" t="n">
        <f aca="false">(C14-B14)/(C13-B13)</f>
        <v>0.319148936170213</v>
      </c>
    </row>
    <row r="18" customFormat="false" ht="12.8" hidden="false" customHeight="false" outlineLevel="0" collapsed="false">
      <c r="A18" s="4" t="s">
        <v>20</v>
      </c>
      <c r="B18" s="4" t="n">
        <f aca="false">B14-B17*B13</f>
        <v>7.96808510638298</v>
      </c>
    </row>
    <row r="19" customFormat="false" ht="12.8" hidden="false" customHeight="false" outlineLevel="0" collapsed="false">
      <c r="A19" s="4"/>
      <c r="B19" s="4"/>
    </row>
    <row r="20" customFormat="false" ht="12.8" hidden="false" customHeight="false" outlineLevel="0" collapsed="false">
      <c r="A20" s="4" t="s">
        <v>21</v>
      </c>
    </row>
    <row r="21" customFormat="false" ht="12.8" hidden="false" customHeight="false" outlineLevel="0" collapsed="false">
      <c r="A21" s="4" t="s">
        <v>22</v>
      </c>
      <c r="B21" s="4" t="n">
        <f aca="false">B13/(B9/100)</f>
        <v>14.2</v>
      </c>
    </row>
    <row r="22" customFormat="false" ht="12.8" hidden="false" customHeight="false" outlineLevel="0" collapsed="false">
      <c r="A22" s="4" t="s">
        <v>23</v>
      </c>
      <c r="B22" s="4" t="n">
        <f aca="false">C13/(C9/100)</f>
        <v>16.0872528970689</v>
      </c>
      <c r="C22" s="4"/>
      <c r="D22" s="4"/>
    </row>
    <row r="23" customFormat="false" ht="12.8" hidden="false" customHeight="false" outlineLevel="0" collapsed="false">
      <c r="A23" s="4" t="s">
        <v>24</v>
      </c>
      <c r="B23" s="4" t="n">
        <f aca="false">AVERAGE(B21:B22)</f>
        <v>15.1436264485344</v>
      </c>
      <c r="C23" s="4"/>
      <c r="D23" s="4"/>
    </row>
    <row r="25" customFormat="false" ht="12.8" hidden="false" customHeight="false" outlineLevel="0" collapsed="false">
      <c r="A25" s="2" t="s">
        <v>25</v>
      </c>
      <c r="B25" s="3"/>
      <c r="C25" s="3"/>
      <c r="D25" s="3"/>
      <c r="E25" s="3"/>
      <c r="F25" s="3"/>
    </row>
    <row r="26" customFormat="false" ht="12.8" hidden="false" customHeight="false" outlineLevel="0" collapsed="false">
      <c r="A26" s="4" t="s">
        <v>26</v>
      </c>
      <c r="B26" s="6" t="s">
        <v>27</v>
      </c>
      <c r="C26" s="6" t="s">
        <v>28</v>
      </c>
      <c r="D26" s="6" t="s">
        <v>25</v>
      </c>
      <c r="E26" s="6" t="s">
        <v>29</v>
      </c>
    </row>
    <row r="27" customFormat="false" ht="12.8" hidden="false" customHeight="false" outlineLevel="0" collapsed="false">
      <c r="A27" s="4" t="s">
        <v>30</v>
      </c>
      <c r="B27" s="16" t="n">
        <v>0.095</v>
      </c>
      <c r="C27" s="10" t="n">
        <f aca="false">F15</f>
        <v>24.7336289953444</v>
      </c>
      <c r="D27" s="17" t="n">
        <f aca="false">C27/B27</f>
        <v>260.353989424678</v>
      </c>
      <c r="E27" s="16" t="n">
        <f aca="false">D27/$D$29-1</f>
        <v>0.894861640645397</v>
      </c>
      <c r="F27" s="18" t="s">
        <v>31</v>
      </c>
    </row>
    <row r="28" customFormat="false" ht="12.8" hidden="false" customHeight="false" outlineLevel="0" collapsed="false">
      <c r="A28" s="4" t="s">
        <v>32</v>
      </c>
      <c r="B28" s="16" t="n">
        <v>0.105</v>
      </c>
      <c r="C28" s="10" t="n">
        <f aca="false">F15</f>
        <v>24.7336289953444</v>
      </c>
      <c r="D28" s="17" t="n">
        <f aca="false">C28/B28</f>
        <v>235.558371384232</v>
      </c>
      <c r="E28" s="16" t="n">
        <f aca="false">D28/$D$29-1</f>
        <v>0.714398627250597</v>
      </c>
      <c r="F28" s="18" t="s">
        <v>33</v>
      </c>
    </row>
    <row r="29" customFormat="false" ht="12.8" hidden="false" customHeight="false" outlineLevel="0" collapsed="false">
      <c r="A29" s="4" t="s">
        <v>34</v>
      </c>
      <c r="D29" s="18" t="n">
        <v>137.4</v>
      </c>
      <c r="F29" s="18" t="s">
        <v>35</v>
      </c>
    </row>
    <row r="30" customFormat="false" ht="12.8" hidden="false" customHeight="false" outlineLevel="0" collapsed="false">
      <c r="A30" s="1" t="s">
        <v>36</v>
      </c>
      <c r="D30" s="19" t="n">
        <v>154.3</v>
      </c>
    </row>
    <row r="32" customFormat="false" ht="12.8" hidden="false" customHeight="false" outlineLevel="0" collapsed="false">
      <c r="A32" s="0" t="n">
        <v>2021</v>
      </c>
      <c r="B32" s="0" t="n">
        <v>-3.7</v>
      </c>
    </row>
    <row r="33" customFormat="false" ht="12.8" hidden="false" customHeight="false" outlineLevel="0" collapsed="false">
      <c r="A33" s="0" t="n">
        <v>2022</v>
      </c>
      <c r="B33" s="20" t="n">
        <v>9</v>
      </c>
    </row>
    <row r="34" customFormat="false" ht="12.8" hidden="false" customHeight="false" outlineLevel="0" collapsed="false">
      <c r="A34" s="0" t="n">
        <v>2023</v>
      </c>
      <c r="B34" s="21" t="n">
        <v>7.9</v>
      </c>
    </row>
    <row r="35" customFormat="false" ht="12.8" hidden="false" customHeight="false" outlineLevel="0" collapsed="false">
      <c r="A35" s="0" t="n">
        <v>2024</v>
      </c>
      <c r="B35" s="21" t="n">
        <v>12.1</v>
      </c>
    </row>
    <row r="36" customFormat="false" ht="12.8" hidden="false" customHeight="false" outlineLevel="0" collapsed="false">
      <c r="A36" s="0" t="n">
        <v>2025</v>
      </c>
      <c r="B36" s="21" t="n">
        <v>9.5</v>
      </c>
      <c r="C36" s="0" t="s">
        <v>37</v>
      </c>
    </row>
    <row r="37" customFormat="false" ht="12.8" hidden="false" customHeight="false" outlineLevel="0" collapsed="false">
      <c r="A37" s="0"/>
      <c r="B37" s="0" t="s">
        <v>38</v>
      </c>
    </row>
    <row r="38" customFormat="false" ht="12.8" hidden="false" customHeight="false" outlineLevel="0" collapsed="false">
      <c r="A38" s="0"/>
    </row>
    <row r="39" customFormat="false" ht="12.8" hidden="false" customHeight="false" outlineLevel="0" collapsed="false">
      <c r="A39" s="0"/>
    </row>
    <row r="40" customFormat="false" ht="12.8" hidden="false" customHeight="false" outlineLevel="0" collapsed="false">
      <c r="A40" s="4" t="s">
        <v>39</v>
      </c>
    </row>
    <row r="41" customFormat="false" ht="12.8" hidden="false" customHeight="false" outlineLevel="0" collapsed="false">
      <c r="A41" s="4"/>
    </row>
    <row r="42" customFormat="false" ht="12.8" hidden="false" customHeight="false" outlineLevel="0" collapsed="false">
      <c r="A42" s="4" t="s">
        <v>40</v>
      </c>
    </row>
    <row r="43" customFormat="false" ht="12.8" hidden="false" customHeight="false" outlineLevel="0" collapsed="false">
      <c r="A43" s="4"/>
    </row>
    <row r="44" customFormat="false" ht="12.8" hidden="false" customHeight="false" outlineLevel="0" collapsed="false">
      <c r="A44" s="4" t="s">
        <v>41</v>
      </c>
    </row>
    <row r="45" customFormat="false" ht="12.8" hidden="false" customHeight="false" outlineLevel="0" collapsed="false">
      <c r="A45" s="4" t="s">
        <v>42</v>
      </c>
    </row>
    <row r="46" customFormat="false" ht="12.8" hidden="false" customHeight="false" outlineLevel="0" collapsed="false">
      <c r="A46" s="4"/>
    </row>
    <row r="47" customFormat="false" ht="12.8" hidden="false" customHeight="false" outlineLevel="0" collapsed="false">
      <c r="A47" s="4" t="s">
        <v>43</v>
      </c>
    </row>
    <row r="48" customFormat="false" ht="12.8" hidden="false" customHeight="false" outlineLevel="0" collapsed="false">
      <c r="A48" s="4" t="s">
        <v>44</v>
      </c>
    </row>
    <row r="49" customFormat="false" ht="12.8" hidden="false" customHeight="false" outlineLevel="0" collapsed="false">
      <c r="A49" s="4" t="s">
        <v>45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49</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2026-10-25T20:41:08Z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