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<sst xmlns="http://schemas.openxmlformats.org/spreadsheetml/2006/main" count="43" uniqueCount="43">
  <si>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Upton Place</t>
  </si>
  <si>
    <t># units</t>
  </si>
  <si>
    <t>category</t>
  </si>
  <si>
    <t>sqf/unit</t>
  </si>
  <si>
    <t>sqf</t>
  </si>
  <si>
    <t>rent/month/unit</t>
  </si>
  <si>
    <t>rent/month</t>
  </si>
  <si>
    <t>per year</t>
  </si>
  <si>
    <t>commercial</t>
  </si>
  <si>
    <t>studio</t>
  </si>
  <si>
    <t>stock</t>
  </si>
  <si>
    <t>2 habitaciones</t>
  </si>
  <si>
    <t>10% discount</t>
  </si>
  <si>
    <t>3 rooms</t>
  </si>
  <si>
    <t>20% discount</t>
  </si>
  <si>
    <t>penthouse</t>
  </si>
  <si>
    <t>30% discount</t>
  </si>
  <si>
    <t>all residential</t>
  </si>
  <si>
    <t>total</t>
  </si>
  <si>
    <t>operating expense</t>
  </si>
  <si>
    <t>NOI</t>
  </si>
  <si>
    <t>valuation</t>
  </si>
  <si>
    <t>reported:</t>
  </si>
  <si>
    <t>tips real yield 6 year duration (about 2.65% as of 22 Oct 2026</t>
  </si>
  <si>
    <t>30 year tbond</t>
  </si>
  <si>
    <t>5 year tbond</t>
  </si>
  <si>
    <t>30/5 spread</t>
  </si>
  <si>
    <t>TIPS 30 year</t>
  </si>
  <si>
    <t>Use 5.6% for multifamily and 7.2% for single-family rentals.</t>
  </si>
  <si>
    <t>Input (22 Oct 2026)</t>
  </si>
  <si>
    <t>Yield</t>
  </si>
  <si>
    <t>Cap rate = NOI / value</t>
  </si>
  <si>
    <t>5-year TIPS</t>
  </si>
  <si>
    <t>10-year TIPS</t>
  </si>
  <si>
    <t>NOI is rent minus operating expenses, before debt service and income taxes. On a property priced at $1,000,000 with $56,000 of forward NOI, the cap rate is 5.6%. Rearranged, value = NOI / cap rate, so a lower cap rate means a higher price for the same income.</t>
  </si>
  <si>
    <t>30-year TIPS</t>
  </si>
  <si>
    <t>5-year nominal</t>
  </si>
  <si>
    <t>It is the real-estate version of an earnings yield. It is not the total return. Expected rent growth sits outside it. The link to the discount rate from the last calculation is:</t>
  </si>
  <si>
    <t>30-year nominal</t>
  </si>
  <si>
    <t>30y − 5y nominal spread</t>
  </si>
  <si>
    <t>cap rate ≈ discount rate − expected growth</t>
  </si>
  <si>
    <t>10-year breakeven inflation</t>
  </si>
  <si>
    <t>That is why the multifamily cap rate was 5.6% while the nominal discounted-cash-flow rate was 8.5%. The 2.8-point gap is expected inflation plus real NOI growth. You divide NOI by 5.6% to get a price. You discount a forecast of dollar rents at 8.5%.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</si>
</sst>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2" numFmtId="3" xfId="0" applyAlignment="1" applyFill="1" applyFont="1" applyNumberFormat="1">
      <alignment readingOrder="0"/>
    </xf>
    <xf borderId="0" fillId="2" fontId="1" numFmtId="3" xfId="0" applyFill="1" applyFont="1" applyNumberForma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3" fontId="1" numFmtId="0" xfId="0" applyAlignment="1" applyFill="1" applyFont="1">
      <alignment readingOrder="0"/>
    </xf>
    <xf borderId="0" fillId="0" fontId="1" numFmtId="9" xfId="0" applyFont="1" applyNumberFormat="1"/>
    <xf borderId="0" fillId="0" fontId="2" numFmtId="9" xfId="0" applyFont="1" applyNumberFormat="1"/>
    <xf borderId="0" fillId="2" fontId="2" numFmtId="0" xfId="0" applyFill="1" applyFont="1"/>
    <xf borderId="0" fillId="2" fontId="2" numFmtId="1" xfId="0" applyFill="1" applyFont="1" applyNumberFormat="1"/>
    <xf borderId="0" fillId="2" fontId="2" numFmtId="3" xfId="0" applyFill="1" applyFont="1" applyNumberFormat="1"/>
    <xf borderId="0" fillId="0" fontId="2" numFmtId="0" xfId="0" applyAlignment="1" applyFont="1">
      <alignment horizontal="right" readingOrder="0"/>
    </xf>
    <xf borderId="0" fillId="3" fontId="2" numFmtId="9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5"/>
    <col customWidth="1" min="8" max="8" width="6.75"/>
    <col customWidth="1" min="10" max="10" width="5.0"/>
    <col customWidth="1" min="11" max="11" width="11.25"/>
    <col customWidth="1" min="12" max="12" width="5.25"/>
    <col customWidth="1" min="13" max="13" width="6.5"/>
  </cols>
  <sheetData>
    <row r="1">
      <c r="A1" s="1" t="s">
        <v>0</v>
      </c>
    </row>
    <row r="4">
      <c r="A4" s="2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>
      <c r="A5" s="3">
        <v>35.0</v>
      </c>
      <c r="B5" s="4" t="s">
        <v>8</v>
      </c>
      <c r="C5" s="3">
        <v>3000.0</v>
      </c>
      <c r="D5" s="5">
        <f t="shared" ref="D5:D9" si="1">C5*A5</f>
        <v>105000</v>
      </c>
      <c r="E5" s="5">
        <v>11000.0</v>
      </c>
      <c r="F5" s="6">
        <f t="shared" ref="F5:F9" si="2">E5*A5</f>
        <v>385000</v>
      </c>
      <c r="G5" s="6">
        <f t="shared" ref="G5:G9" si="3">F5*12</f>
        <v>4620000</v>
      </c>
    </row>
    <row r="6">
      <c r="A6" s="7">
        <v>490.0</v>
      </c>
      <c r="B6" s="7" t="s">
        <v>9</v>
      </c>
      <c r="C6" s="7">
        <v>680.0</v>
      </c>
      <c r="D6" s="8">
        <f t="shared" si="1"/>
        <v>333200</v>
      </c>
      <c r="E6" s="8">
        <v>2525.0</v>
      </c>
      <c r="F6" s="9">
        <f t="shared" si="2"/>
        <v>1237250</v>
      </c>
      <c r="G6" s="9">
        <f t="shared" si="3"/>
        <v>14847000</v>
      </c>
      <c r="K6" s="7" t="s">
        <v>10</v>
      </c>
      <c r="L6" s="10">
        <v>1.61</v>
      </c>
    </row>
    <row r="7">
      <c r="A7" s="7">
        <v>180.0</v>
      </c>
      <c r="B7" s="7" t="s">
        <v>11</v>
      </c>
      <c r="C7" s="7">
        <v>920.0</v>
      </c>
      <c r="D7" s="8">
        <f t="shared" si="1"/>
        <v>165600</v>
      </c>
      <c r="E7" s="8">
        <v>3900.0</v>
      </c>
      <c r="F7" s="9">
        <f t="shared" si="2"/>
        <v>702000</v>
      </c>
      <c r="G7" s="9">
        <f t="shared" si="3"/>
        <v>8424000</v>
      </c>
      <c r="K7" s="7" t="s">
        <v>12</v>
      </c>
      <c r="L7" s="7">
        <v>2.9</v>
      </c>
      <c r="M7" s="11">
        <f t="shared" ref="M7:M9" si="4">L7/$L$6-1</f>
        <v>0.801242236</v>
      </c>
    </row>
    <row r="8">
      <c r="A8" s="7">
        <v>5.0</v>
      </c>
      <c r="B8" s="7" t="s">
        <v>13</v>
      </c>
      <c r="C8" s="7">
        <v>1481.0</v>
      </c>
      <c r="D8" s="8">
        <f t="shared" si="1"/>
        <v>7405</v>
      </c>
      <c r="E8" s="8">
        <v>8000.0</v>
      </c>
      <c r="F8" s="9">
        <f t="shared" si="2"/>
        <v>40000</v>
      </c>
      <c r="G8" s="9">
        <f t="shared" si="3"/>
        <v>480000</v>
      </c>
      <c r="K8" s="7" t="s">
        <v>14</v>
      </c>
      <c r="L8" s="7">
        <v>2.4</v>
      </c>
      <c r="M8" s="12">
        <f t="shared" si="4"/>
        <v>0.4906832298</v>
      </c>
    </row>
    <row r="9">
      <c r="A9" s="7">
        <v>12.0</v>
      </c>
      <c r="B9" s="7" t="s">
        <v>15</v>
      </c>
      <c r="C9" s="7">
        <v>1098.0</v>
      </c>
      <c r="D9" s="8">
        <f t="shared" si="1"/>
        <v>13176</v>
      </c>
      <c r="E9" s="8">
        <v>5400.0</v>
      </c>
      <c r="F9" s="9">
        <f t="shared" si="2"/>
        <v>64800</v>
      </c>
      <c r="G9" s="9">
        <f t="shared" si="3"/>
        <v>777600</v>
      </c>
      <c r="K9" s="7" t="s">
        <v>16</v>
      </c>
      <c r="L9" s="7">
        <v>1.8</v>
      </c>
      <c r="M9" s="11">
        <f t="shared" si="4"/>
        <v>0.1180124224</v>
      </c>
    </row>
    <row r="10">
      <c r="A10" s="13">
        <f>SUM(A6:A9)</f>
        <v>687</v>
      </c>
      <c r="B10" s="4" t="s">
        <v>17</v>
      </c>
      <c r="C10" s="14">
        <f>D10/A10</f>
        <v>756.0131004</v>
      </c>
      <c r="D10" s="15">
        <f>sum(D6:D9)</f>
        <v>519381</v>
      </c>
      <c r="E10" s="5">
        <f>F10/A10</f>
        <v>2975.327511</v>
      </c>
      <c r="F10" s="6">
        <f t="shared" ref="F10:F11" si="5">G10/12</f>
        <v>2044050</v>
      </c>
      <c r="G10" s="6">
        <f>sum(G6:G9)</f>
        <v>24528600</v>
      </c>
    </row>
    <row r="11">
      <c r="A11" s="13"/>
      <c r="B11" s="4" t="s">
        <v>18</v>
      </c>
      <c r="C11" s="13"/>
      <c r="D11" s="6">
        <f>D5+D10</f>
        <v>624381</v>
      </c>
      <c r="E11" s="13"/>
      <c r="F11" s="6">
        <f t="shared" si="5"/>
        <v>2429050</v>
      </c>
      <c r="G11" s="6">
        <f>G5+G10</f>
        <v>29148600</v>
      </c>
    </row>
    <row r="12">
      <c r="E12" s="16" t="s">
        <v>19</v>
      </c>
      <c r="F12" s="17">
        <v>0.35</v>
      </c>
      <c r="G12" s="9">
        <f>-G11*F12</f>
        <v>-10202010</v>
      </c>
    </row>
    <row r="13">
      <c r="E13" s="7" t="s">
        <v>20</v>
      </c>
      <c r="G13" s="9">
        <f>G11+G12</f>
        <v>18946590</v>
      </c>
    </row>
    <row r="15">
      <c r="E15" s="7" t="s">
        <v>21</v>
      </c>
      <c r="F15" s="18">
        <v>0.065</v>
      </c>
      <c r="G15" s="6">
        <f t="shared" ref="G15:G17" si="6">$G$13/F15</f>
        <v>291486000</v>
      </c>
      <c r="H15" s="19">
        <f t="shared" ref="H15:H17" si="7">G15/$G$18-1</f>
        <v>-0.2288730159</v>
      </c>
    </row>
    <row r="16">
      <c r="F16" s="18">
        <v>0.06</v>
      </c>
      <c r="G16" s="6">
        <f t="shared" si="6"/>
        <v>315776500</v>
      </c>
      <c r="H16" s="19">
        <f t="shared" si="7"/>
        <v>-0.1646124339</v>
      </c>
    </row>
    <row r="17">
      <c r="F17" s="19">
        <v>0.055</v>
      </c>
      <c r="G17" s="6">
        <f t="shared" si="6"/>
        <v>344483454.5</v>
      </c>
      <c r="H17" s="19">
        <f t="shared" si="7"/>
        <v>-0.08866810967</v>
      </c>
    </row>
    <row r="18">
      <c r="F18" s="7" t="s">
        <v>22</v>
      </c>
      <c r="G18" s="9">
        <v>3.78E8</v>
      </c>
    </row>
    <row r="20">
      <c r="B20" s="7" t="s">
        <v>23</v>
      </c>
      <c r="D20" s="20">
        <v>0.0265</v>
      </c>
    </row>
    <row r="21">
      <c r="B21" s="7" t="s">
        <v>24</v>
      </c>
      <c r="D21" s="20">
        <v>0.0305</v>
      </c>
    </row>
    <row r="22">
      <c r="B22" s="7" t="s">
        <v>25</v>
      </c>
      <c r="D22" s="20">
        <v>0.0233</v>
      </c>
    </row>
    <row r="23">
      <c r="B23" s="7" t="s">
        <v>26</v>
      </c>
      <c r="D23" s="21">
        <f>D21-D22</f>
        <v>0.0072</v>
      </c>
    </row>
    <row r="24">
      <c r="B24" s="7" t="s">
        <v>27</v>
      </c>
      <c r="D24" s="22">
        <f>D23+D20</f>
        <v>0.0337</v>
      </c>
    </row>
    <row r="26">
      <c r="B26" s="7" t="s">
        <v>28</v>
      </c>
    </row>
    <row r="30">
      <c r="B30" s="7" t="s">
        <v>29</v>
      </c>
      <c r="C30" s="7" t="s">
        <v>30</v>
      </c>
      <c r="E30" s="7" t="s">
        <v>31</v>
      </c>
    </row>
    <row r="31">
      <c r="B31" s="7" t="s">
        <v>32</v>
      </c>
      <c r="C31" s="20">
        <v>0.0233</v>
      </c>
    </row>
    <row r="32">
      <c r="B32" s="7" t="s">
        <v>33</v>
      </c>
      <c r="C32" s="20">
        <v>0.0264</v>
      </c>
      <c r="E32" s="7" t="s">
        <v>34</v>
      </c>
    </row>
    <row r="33">
      <c r="B33" s="7" t="s">
        <v>35</v>
      </c>
      <c r="C33" s="20">
        <v>0.0305</v>
      </c>
    </row>
    <row r="34">
      <c r="B34" s="7" t="s">
        <v>36</v>
      </c>
      <c r="C34" s="20">
        <v>0.0478</v>
      </c>
      <c r="E34" s="7" t="s">
        <v>37</v>
      </c>
    </row>
    <row r="35">
      <c r="B35" s="7" t="s">
        <v>38</v>
      </c>
      <c r="C35" s="20">
        <v>0.0529</v>
      </c>
    </row>
    <row r="36">
      <c r="B36" s="7" t="s">
        <v>39</v>
      </c>
      <c r="C36" s="20">
        <v>0.0051</v>
      </c>
      <c r="E36" s="7" t="s">
        <v>40</v>
      </c>
    </row>
    <row r="37">
      <c r="B37" s="7" t="s">
        <v>41</v>
      </c>
      <c r="C37" s="20">
        <v>0.0232</v>
      </c>
    </row>
    <row r="38">
      <c r="E38" s="7" t="s">
        <v>42</v>
      </c>
    </row>
  </sheetData>
  <drawing r:id="rId1"/>
</worksheet>
</file>