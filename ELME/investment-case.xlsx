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2" sheetId="1" state="visible" r:id="rId3"/>
    <sheet name="Investment case"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<sst xmlns="http://schemas.openxmlformats.org/spreadsheetml/2006/main" count="94" uniqueCount="84">
  <si>
    <t xml:space="preserve">cash main</t>
  </si>
  <si>
    <t xml:space="preserve">liabilities</t>
  </si>
  <si>
    <t xml:space="preserve">free cash</t>
  </si>
  <si>
    <t xml:space="preserve">shares</t>
  </si>
  <si>
    <t xml:space="preserve">NAV/share</t>
  </si>
  <si>
    <t xml:space="preserve">ELMES price</t>
  </si>
  <si>
    <t xml:space="preserve">FTI Consulting is expected to be retained to run the wind-down and to supply the liquidating trustee. No person at FTI is named, and the trust agreement is not filed</t>
  </si>
  <si>
    <t xml:space="preserve">ELME investment case</t>
  </si>
  <si>
    <t xml:space="preserve">Liquidating trust at dissolution on November 6, 2026. All properties are sold. The October 22 distribution has been paid.</t>
  </si>
  <si>
    <t xml:space="preserve">Common shares outstanding</t>
  </si>
  <si>
    <t xml:space="preserve">July 30, 2026, from the cover of the June 30, 2026 Form 10-Q. The October 9 record date is not disclosed separately.</t>
  </si>
  <si>
    <t xml:space="preserve">Distribution paid October 22, 2026</t>
  </si>
  <si>
    <t xml:space="preserve">Per share. Record date October 9, 2026. Ex-dividend date October 23, 2026.</t>
  </si>
  <si>
    <t xml:space="preserve">Cash paid on October 22, 2026</t>
  </si>
  <si>
    <t xml:space="preserve">Cash distributions paid to date</t>
  </si>
  <si>
    <t xml:space="preserve">Per share. $14.67 on January 7, 2026 plus $1.74 on October 22, 2026.</t>
  </si>
  <si>
    <t xml:space="preserve">What transfers to the trust</t>
  </si>
  <si>
    <t xml:space="preserve">Dollars</t>
  </si>
  <si>
    <t xml:space="preserve">Per share</t>
  </si>
  <si>
    <t xml:space="preserve">Cash</t>
  </si>
  <si>
    <t xml:space="preserve">Rents and other receivables</t>
  </si>
  <si>
    <t xml:space="preserve">Assets</t>
  </si>
  <si>
    <t xml:space="preserve">Wind-down reserve</t>
  </si>
  <si>
    <t xml:space="preserve">Accounts payable and accrued expenses</t>
  </si>
  <si>
    <t xml:space="preserve">Liabilities</t>
  </si>
  <si>
    <t xml:space="preserve">NAV</t>
  </si>
  <si>
    <t xml:space="preserve">The reserve is costs the company has already accrued and not yet paid. Paying them reduces cash and liabilities by the same amount. NAV does not change.</t>
  </si>
  <si>
    <t xml:space="preserve">NAV left for shareholders</t>
  </si>
  <si>
    <t xml:space="preserve">LOW</t>
  </si>
  <si>
    <t xml:space="preserve">BOOK</t>
  </si>
  <si>
    <t xml:space="preserve">HIGH</t>
  </si>
  <si>
    <t xml:space="preserve">Further distribution, per share</t>
  </si>
  <si>
    <t xml:space="preserve">NAV per share</t>
  </si>
  <si>
    <t xml:space="preserve">Total cash distributions, including amounts already paid</t>
  </si>
  <si>
    <t xml:space="preserve">LOW and HIGH are the company's July 24, 2026 range of additional distributions, $1.74 to $1.94 per share, after the $1.74 paid on October 22. LOW leaves nothing further. HIGH leaves $0.20 per share. BOOK is the accrued net assets. Assets are the same in all three columns. The range moves the wind-down liability.</t>
  </si>
  <si>
    <t xml:space="preserve">Cash bridge, from June 30, 2026 to the trust</t>
  </si>
  <si>
    <t xml:space="preserve">Gross price</t>
  </si>
  <si>
    <t xml:space="preserve">Closing adjustments</t>
  </si>
  <si>
    <t xml:space="preserve">Debt repaid</t>
  </si>
  <si>
    <t xml:space="preserve">Net cash</t>
  </si>
  <si>
    <t xml:space="preserve">Closed</t>
  </si>
  <si>
    <t xml:space="preserve">Elme Bethesda, 193 units</t>
  </si>
  <si>
    <t xml:space="preserve">August 11, 2026</t>
  </si>
  <si>
    <t xml:space="preserve">Riverside Apartments, 1,222 units, with the adjacent land</t>
  </si>
  <si>
    <t xml:space="preserve">September 14, 2026</t>
  </si>
  <si>
    <t xml:space="preserve">3801 Connecticut Avenue, 307 units</t>
  </si>
  <si>
    <t xml:space="preserve">September 28, 2026</t>
  </si>
  <si>
    <t xml:space="preserve">The Kenmore, 371 units</t>
  </si>
  <si>
    <t xml:space="preserve">Four sales</t>
  </si>
  <si>
    <t xml:space="preserve">Cash on June 30, 2026</t>
  </si>
  <si>
    <t xml:space="preserve">Cash after the four sales</t>
  </si>
  <si>
    <t xml:space="preserve">October 22 distribution</t>
  </si>
  <si>
    <t xml:space="preserve">Cash into the trust</t>
  </si>
  <si>
    <t xml:space="preserve">Kenmore and 3801 Connecticut net cash is $103,216,000. The September 29, 2026 release states aggregate net proceeds of about $103.2 million for those two closings.</t>
  </si>
  <si>
    <t xml:space="preserve">Balance sheet tie-out</t>
  </si>
  <si>
    <t xml:space="preserve">June 30, 2026</t>
  </si>
  <si>
    <t xml:space="preserve">After the four sales</t>
  </si>
  <si>
    <t xml:space="preserve">Per share, June 30</t>
  </si>
  <si>
    <t xml:space="preserve">Income producing property</t>
  </si>
  <si>
    <t xml:space="preserve">Cash and restricted cash</t>
  </si>
  <si>
    <t xml:space="preserve">Debt</t>
  </si>
  <si>
    <t xml:space="preserve">Net assets</t>
  </si>
  <si>
    <t xml:space="preserve">Net assets do not change when the four sales close. On June 30 the properties were already carried at these prices: $168 million for Bethesda, Kenmore, and 3801 Connecticut, and $250 million for Riverside.</t>
  </si>
  <si>
    <t xml:space="preserve">Wind-down reserve at June 30, 2026, and what the sales removed</t>
  </si>
  <si>
    <t xml:space="preserve">Future property cash flow, a receipt</t>
  </si>
  <si>
    <t xml:space="preserve">Future interest income, a receipt</t>
  </si>
  <si>
    <t xml:space="preserve">Liquidation transaction costs</t>
  </si>
  <si>
    <t xml:space="preserve">General and administrative expenses</t>
  </si>
  <si>
    <t xml:space="preserve">Capital expenditures</t>
  </si>
  <si>
    <t xml:space="preserve">Interest expense</t>
  </si>
  <si>
    <t xml:space="preserve">Reserve at June 30, 2026</t>
  </si>
  <si>
    <t xml:space="preserve">Removed with Bethesda</t>
  </si>
  <si>
    <t xml:space="preserve">Removed with Riverside</t>
  </si>
  <si>
    <t xml:space="preserve">Removed with 3801 Connecticut</t>
  </si>
  <si>
    <t xml:space="preserve">Removed with The Kenmore</t>
  </si>
  <si>
    <t xml:space="preserve">Reserve after the four sales</t>
  </si>
  <si>
    <t xml:space="preserve">The lines above are the June 30 accrual of remaining receipts and costs through the end of the liquidation. The sale columns of the September 28 pro forma remove only the portion associated with each property. The filing does not split the remaining $21,354,000 among those lines.</t>
  </si>
  <si>
    <t xml:space="preserve">Sources and how to read the estimate</t>
  </si>
  <si>
    <t xml:space="preserve">June 30, 2026 figures are the liquidation-basis statement of net assets in the Form 10-Q filed July 31, 2026. The filing presents thousands of dollars. This sheet uses dollars. Share count, 88,857,883, is the number of common shares outstanding on July 30, 2026, stated on the cover of that 10-Q.</t>
  </si>
  <si>
    <t xml:space="preserve">The four-sale column is the unaudited pro forma statement of net assets in the Form 8-K reporting the September 28, 2026 closings of The Kenmore and 3801 Connecticut Avenue. Bethesda and Riverside closing adjustments are the amounts in that pro forma. The Kenmore and 3801 Connecticut adjustments are actual costs paid at closing. Debt repaid is $52,446,000 at Bethesda and $198,596,000 at Riverside, together the entire $251,042,000 balance at June 30. The loan was terminated on September 14, 2026. The 0.50% exit fee does not apply to repayment from an arm's-length property sale.</t>
  </si>
  <si>
    <t xml:space="preserve">Cash after the sales, $191,290,000, is June 30 cash plus those net proceeds. It is not a bank balance counted on September 28. Operating receipts, overhead, and loan interest after June 30 were accrued inside the reserve. Spending an accrued dollar reduces the cash that arrives at the trust and reduces the liability by the same dollar. The $13,043,284 of NAV is the figure that survives that timing.</t>
  </si>
  <si>
    <t xml:space="preserve">On July 24, 2026 the company set additional liquidating distributions at $1.74 to $1.94 per share, and total distributions, including the January payment, at $16.41 to $16.61. The October 22 payment used the bottom of that range. Book NAV of $0.1468 per share puts total distributions at $16.5568, inside the range. The July 24 range was published before the two Washington closings. Those two produced $1,596,000 less net cash than the probable figures in the earlier pro forma.</t>
  </si>
  <si>
    <t xml:space="preserve">The August 1, 2025 proxy estimate of total liquidating distributions was $17.40 to $18.32 per share. Cash paid to date is $16.41. Adding book NAV gives $16.56.</t>
  </si>
  <si>
    <t xml:space="preserve">Dissolution is effective November 6, 2026. Remaining assets and liabilities transfer to a Maryland liquidating trust. Shareholders of record at the close of trading on November 5 receive beneficial interests in proportion to their shares. Those interests will not trade. Any further payment is decided by the trustee after liabilities and wind-down costs. The company expects FTI Consulting to provide the trustee. Nothing in this sheet is a declared November dividend.</t>
  </si>
</sst>
</file>

<file path=xl/styles.xml><?xml version="1.0" encoding="utf-8"?>
<styleSheet xmlns="http://schemas.openxmlformats.org/spreadsheetml/2006/main">
  <numFmts count="6">
    <numFmt numFmtId="164" formatCode="General"/>
    <numFmt numFmtId="165" formatCode="0.000"/>
    <numFmt numFmtId="166" formatCode="0.00%"/>
    <numFmt numFmtId="167" formatCode="#,##0"/>
    <numFmt numFmtId="168" formatCode="\$#,##0.0000"/>
    <numFmt numFmtId="169" formatCode="\$#,##0.00"/>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b val="true"/>
      <sz val="18"/>
      <color rgb="FF1F4E79"/>
      <name val="Calibri"/>
      <family val="0"/>
      <charset val="1"/>
    </font>
    <font>
      <i val="true"/>
      <sz val="10"/>
      <color rgb="FF595959"/>
      <name val="Calibri"/>
      <family val="0"/>
      <charset val="1"/>
    </font>
    <font>
      <b val="true"/>
      <sz val="12"/>
      <color rgb="FFFFFFFF"/>
      <name val="Calibri"/>
      <family val="0"/>
      <charset val="1"/>
    </font>
    <font>
      <b val="true"/>
      <sz val="11"/>
      <name val="Calibri"/>
      <family val="0"/>
      <charset val="1"/>
    </font>
    <font>
      <b val="true"/>
      <sz val="11"/>
      <color rgb="FF1F4E79"/>
      <name val="Calibri"/>
      <family val="0"/>
      <charset val="1"/>
    </font>
  </fonts>
  <fills count="6">
    <fill>
      <patternFill patternType="none"/>
    </fill>
    <fill>
      <patternFill patternType="gray125"/>
    </fill>
    <fill>
      <patternFill patternType="solid">
        <fgColor rgb="FFFFBF00"/>
        <bgColor rgb="FFFF9900"/>
      </patternFill>
    </fill>
    <fill>
      <patternFill patternType="solid">
        <fgColor rgb="FFFFF2CC"/>
        <bgColor rgb="FFE2EFDA"/>
      </patternFill>
    </fill>
    <fill>
      <patternFill patternType="solid">
        <fgColor rgb="FF1F4E79"/>
        <bgColor rgb="FF003366"/>
      </patternFill>
    </fill>
    <fill>
      <patternFill patternType="solid">
        <fgColor rgb="FFE2EFDA"/>
        <bgColor rgb="FFFFF2CC"/>
      </patternFill>
    </fill>
  </fills>
  <borders count="2">
    <border diagonalUp="false" diagonalDown="false">
      <left/>
      <right/>
      <top/>
      <bottom/>
      <diagonal/>
    </border>
    <border diagonalUp="false" diagonalDown="false">
      <left/>
      <right/>
      <top style="thin">
        <color rgb="FF1F4E79"/>
      </top>
      <bottom style="double">
        <color rgb="FF1F4E7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0" fillId="3" borderId="0" xfId="0" applyFont="false" applyBorder="false" applyAlignment="true" applyProtection="true">
      <alignment horizontal="general" vertical="bottom" textRotation="0" wrapText="false" indent="0" shrinkToFit="false"/>
      <protection locked="true" hidden="false"/>
    </xf>
    <xf numFmtId="168" fontId="0" fillId="3" borderId="0" xfId="0" applyFont="fals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right"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9" fontId="8" fillId="0" borderId="1" xfId="0" applyFont="true" applyBorder="true" applyAlignment="true" applyProtection="true">
      <alignment horizontal="general" vertical="bottom" textRotation="0" wrapText="false" indent="0" shrinkToFit="false"/>
      <protection locked="true" hidden="false"/>
    </xf>
    <xf numFmtId="168" fontId="8" fillId="0" borderId="1" xfId="0" applyFont="true" applyBorder="true" applyAlignment="true" applyProtection="true">
      <alignment horizontal="general" vertical="bottom" textRotation="0" wrapText="false" indent="0" shrinkToFit="false"/>
      <protection locked="true" hidden="false"/>
    </xf>
    <xf numFmtId="169" fontId="9" fillId="5" borderId="1" xfId="0"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general" vertical="bottom" textRotation="0" wrapText="false" indent="0" shrinkToFit="false"/>
      <protection locked="true" hidden="false"/>
    </xf>
    <xf numFmtId="164" fontId="7" fillId="4"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BF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4:C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G13" activeCellId="0" sqref="G13"/>
    </sheetView>
  </sheetViews>
  <sheetFormatPr defaultColWidth="11.53515625" defaultRowHeight="12.8" customHeight="false" zeroHeight="false" outlineLevelRow="0" outlineLevelCol="0"/>
  <sheetData>
    <row r="4" customFormat="false" ht="12.8" hidden="false" customHeight="false" outlineLevel="0" collapsed="false">
      <c r="B4" s="1" t="n">
        <f aca="false">23.3+9.5</f>
        <v>32.8</v>
      </c>
      <c r="C4" s="1" t="s">
        <v>0</v>
      </c>
    </row>
    <row r="5" customFormat="false" ht="12.8" hidden="false" customHeight="false" outlineLevel="0" collapsed="false">
      <c r="B5" s="1" t="n">
        <v>-23.3</v>
      </c>
      <c r="C5" s="1" t="s">
        <v>1</v>
      </c>
    </row>
    <row r="6" customFormat="false" ht="12.8" hidden="false" customHeight="false" outlineLevel="0" collapsed="false">
      <c r="B6" s="2" t="n">
        <f aca="false">SUM(B4:B5)</f>
        <v>9.5</v>
      </c>
      <c r="C6" s="2" t="s">
        <v>2</v>
      </c>
    </row>
    <row r="8" customFormat="false" ht="12.8" hidden="false" customHeight="false" outlineLevel="0" collapsed="false">
      <c r="B8" s="1" t="n">
        <v>88.9</v>
      </c>
      <c r="C8" s="1" t="s">
        <v>3</v>
      </c>
    </row>
    <row r="9" customFormat="false" ht="12.8" hidden="false" customHeight="false" outlineLevel="0" collapsed="false">
      <c r="B9" s="3" t="n">
        <f aca="false">B6/B8</f>
        <v>0.106861642294713</v>
      </c>
      <c r="C9" s="2" t="s">
        <v>4</v>
      </c>
    </row>
    <row r="11" customFormat="false" ht="12.8" hidden="false" customHeight="false" outlineLevel="0" collapsed="false">
      <c r="B11" s="4" t="n">
        <v>0.04</v>
      </c>
      <c r="C11" s="1" t="s">
        <v>5</v>
      </c>
    </row>
    <row r="13" customFormat="false" ht="12.8" hidden="false" customHeight="false" outlineLevel="0" collapsed="false">
      <c r="B13" s="5" t="n">
        <f aca="false">B9/B11-1</f>
        <v>1.67154105736783</v>
      </c>
    </row>
    <row r="15" customFormat="false" ht="12.8" hidden="false" customHeight="false" outlineLevel="0" collapsed="false">
      <c r="B15" s="0" t="s">
        <v>6</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4" activeCellId="0" sqref="B4"/>
    </sheetView>
  </sheetViews>
  <sheetFormatPr defaultColWidth="9.7578125" defaultRowHeight="16" customHeight="false" zeroHeight="false" outlineLevelRow="0" outlineLevelCol="0"/>
  <cols>
    <col collapsed="false" customWidth="true" hidden="false" outlineLevel="0" max="1" min="1" style="1" width="88.54"/>
    <col collapsed="false" customWidth="true" hidden="false" outlineLevel="0" max="2" min="2" style="1" width="27.24"/>
    <col collapsed="false" customWidth="true" hidden="false" outlineLevel="0" max="3" min="3" style="1" width="31.78"/>
    <col collapsed="false" customWidth="true" hidden="false" outlineLevel="0" max="4" min="4" style="1" width="29.52"/>
    <col collapsed="false" customWidth="true" hidden="false" outlineLevel="0" max="5" min="5" style="1" width="22.7"/>
    <col collapsed="false" customWidth="true" hidden="false" outlineLevel="0" max="6" min="6" style="1" width="24.98"/>
  </cols>
  <sheetData>
    <row r="1" customFormat="false" ht="22.05" hidden="false" customHeight="false" outlineLevel="0" collapsed="false">
      <c r="A1" s="6" t="s">
        <v>7</v>
      </c>
      <c r="B1" s="6"/>
      <c r="C1" s="6"/>
      <c r="D1" s="6"/>
      <c r="E1" s="6"/>
      <c r="F1" s="6"/>
    </row>
    <row r="2" customFormat="false" ht="48" hidden="false" customHeight="true" outlineLevel="0" collapsed="false">
      <c r="A2" s="7" t="s">
        <v>8</v>
      </c>
      <c r="B2" s="7"/>
      <c r="C2" s="7"/>
      <c r="D2" s="7"/>
      <c r="E2" s="7"/>
      <c r="F2" s="7"/>
    </row>
    <row r="4" customFormat="false" ht="32" hidden="false" customHeight="true" outlineLevel="0" collapsed="false">
      <c r="A4" s="8" t="s">
        <v>9</v>
      </c>
      <c r="B4" s="9" t="n">
        <v>88857883</v>
      </c>
      <c r="C4" s="7" t="s">
        <v>10</v>
      </c>
      <c r="D4" s="7"/>
      <c r="E4" s="7"/>
      <c r="F4" s="7"/>
    </row>
    <row r="5" customFormat="false" ht="16" hidden="false" customHeight="true" outlineLevel="0" collapsed="false">
      <c r="A5" s="8" t="s">
        <v>11</v>
      </c>
      <c r="B5" s="10" t="n">
        <v>1.74</v>
      </c>
      <c r="C5" s="7" t="s">
        <v>12</v>
      </c>
      <c r="D5" s="7"/>
      <c r="E5" s="7"/>
      <c r="F5" s="7"/>
    </row>
    <row r="6" customFormat="false" ht="16" hidden="false" customHeight="false" outlineLevel="0" collapsed="false">
      <c r="A6" s="8" t="s">
        <v>13</v>
      </c>
      <c r="B6" s="11" t="n">
        <f aca="false">B4*B5</f>
        <v>154612716.42</v>
      </c>
    </row>
    <row r="7" customFormat="false" ht="16" hidden="false" customHeight="true" outlineLevel="0" collapsed="false">
      <c r="A7" s="8" t="s">
        <v>14</v>
      </c>
      <c r="B7" s="10" t="n">
        <v>16.41</v>
      </c>
      <c r="C7" s="7" t="s">
        <v>15</v>
      </c>
      <c r="D7" s="7"/>
      <c r="E7" s="7"/>
      <c r="F7" s="7"/>
    </row>
    <row r="9" customFormat="false" ht="16" hidden="false" customHeight="false" outlineLevel="0" collapsed="false">
      <c r="A9" s="12" t="s">
        <v>16</v>
      </c>
      <c r="B9" s="13" t="s">
        <v>17</v>
      </c>
      <c r="C9" s="13" t="s">
        <v>18</v>
      </c>
    </row>
    <row r="10" customFormat="false" ht="16" hidden="false" customHeight="false" outlineLevel="0" collapsed="false">
      <c r="A10" s="8" t="s">
        <v>19</v>
      </c>
      <c r="B10" s="11" t="n">
        <f aca="false">E37</f>
        <v>36677283.58</v>
      </c>
      <c r="C10" s="14" t="n">
        <f aca="false">B10/$B$4</f>
        <v>0.412763418862905</v>
      </c>
    </row>
    <row r="11" customFormat="false" ht="16" hidden="false" customHeight="false" outlineLevel="0" collapsed="false">
      <c r="A11" s="8" t="s">
        <v>20</v>
      </c>
      <c r="B11" s="11" t="n">
        <v>506000</v>
      </c>
      <c r="C11" s="14" t="n">
        <f aca="false">B11/$B$4</f>
        <v>0.00569448632936709</v>
      </c>
    </row>
    <row r="12" customFormat="false" ht="16" hidden="false" customHeight="false" outlineLevel="0" collapsed="false">
      <c r="A12" s="1" t="s">
        <v>21</v>
      </c>
      <c r="B12" s="15" t="n">
        <f aca="false">B10+B11</f>
        <v>37183283.58</v>
      </c>
      <c r="C12" s="16" t="n">
        <f aca="false">B12/$B$4</f>
        <v>0.418457905192272</v>
      </c>
    </row>
    <row r="13" customFormat="false" ht="16" hidden="false" customHeight="false" outlineLevel="0" collapsed="false">
      <c r="A13" s="8" t="s">
        <v>22</v>
      </c>
      <c r="B13" s="11" t="n">
        <v>21354000</v>
      </c>
      <c r="C13" s="14" t="n">
        <f aca="false">B13/$B$4</f>
        <v>0.240316326239733</v>
      </c>
    </row>
    <row r="14" customFormat="false" ht="16" hidden="false" customHeight="false" outlineLevel="0" collapsed="false">
      <c r="A14" s="8" t="s">
        <v>23</v>
      </c>
      <c r="B14" s="11" t="n">
        <v>2786000</v>
      </c>
      <c r="C14" s="14" t="n">
        <f aca="false">B14/$B$4</f>
        <v>0.0313534365881753</v>
      </c>
    </row>
    <row r="15" customFormat="false" ht="16" hidden="false" customHeight="false" outlineLevel="0" collapsed="false">
      <c r="A15" s="1" t="s">
        <v>24</v>
      </c>
      <c r="B15" s="15" t="n">
        <f aca="false">B13+B14</f>
        <v>24140000</v>
      </c>
      <c r="C15" s="16" t="n">
        <f aca="false">B15/$B$4</f>
        <v>0.271669762827908</v>
      </c>
    </row>
    <row r="16" customFormat="false" ht="16" hidden="false" customHeight="false" outlineLevel="0" collapsed="false">
      <c r="A16" s="1" t="s">
        <v>25</v>
      </c>
      <c r="B16" s="17" t="n">
        <f aca="false">B12-B15</f>
        <v>13043283.58</v>
      </c>
      <c r="C16" s="18" t="n">
        <f aca="false">B16/$B$4</f>
        <v>0.146788142364364</v>
      </c>
    </row>
    <row r="17" customFormat="false" ht="48" hidden="false" customHeight="true" outlineLevel="0" collapsed="false">
      <c r="A17" s="7" t="s">
        <v>26</v>
      </c>
      <c r="B17" s="7"/>
      <c r="C17" s="7"/>
      <c r="D17" s="7"/>
      <c r="E17" s="7"/>
      <c r="F17" s="7"/>
    </row>
    <row r="19" customFormat="false" ht="16" hidden="false" customHeight="false" outlineLevel="0" collapsed="false">
      <c r="A19" s="12" t="s">
        <v>27</v>
      </c>
      <c r="B19" s="13" t="s">
        <v>28</v>
      </c>
      <c r="C19" s="13" t="s">
        <v>29</v>
      </c>
      <c r="D19" s="13" t="s">
        <v>30</v>
      </c>
    </row>
    <row r="20" customFormat="false" ht="16" hidden="false" customHeight="false" outlineLevel="0" collapsed="false">
      <c r="A20" s="8" t="s">
        <v>31</v>
      </c>
      <c r="B20" s="10" t="n">
        <v>0</v>
      </c>
      <c r="C20" s="14" t="n">
        <f aca="false">C16</f>
        <v>0.146788142364364</v>
      </c>
      <c r="D20" s="10" t="n">
        <v>0.2</v>
      </c>
    </row>
    <row r="21" customFormat="false" ht="16" hidden="false" customHeight="false" outlineLevel="0" collapsed="false">
      <c r="A21" s="8" t="s">
        <v>21</v>
      </c>
      <c r="B21" s="11" t="n">
        <f aca="false">$B$12</f>
        <v>37183283.58</v>
      </c>
      <c r="C21" s="11" t="n">
        <f aca="false">$B$12</f>
        <v>37183283.58</v>
      </c>
      <c r="D21" s="11" t="n">
        <f aca="false">$B$12</f>
        <v>37183283.58</v>
      </c>
    </row>
    <row r="22" customFormat="false" ht="16" hidden="false" customHeight="false" outlineLevel="0" collapsed="false">
      <c r="A22" s="8" t="s">
        <v>24</v>
      </c>
      <c r="B22" s="11" t="n">
        <f aca="false">B21-B23</f>
        <v>37183283.58</v>
      </c>
      <c r="C22" s="11" t="n">
        <f aca="false">$B$15</f>
        <v>24140000</v>
      </c>
      <c r="D22" s="11" t="n">
        <f aca="false">D21-D23</f>
        <v>19411706.98</v>
      </c>
    </row>
    <row r="23" customFormat="false" ht="16" hidden="false" customHeight="false" outlineLevel="0" collapsed="false">
      <c r="A23" s="1" t="s">
        <v>25</v>
      </c>
      <c r="B23" s="17" t="n">
        <f aca="false">B20*$B$4</f>
        <v>0</v>
      </c>
      <c r="C23" s="17" t="n">
        <f aca="false">C20*$B$4</f>
        <v>13043283.58</v>
      </c>
      <c r="D23" s="17" t="n">
        <f aca="false">D20*$B$4</f>
        <v>17771576.6</v>
      </c>
    </row>
    <row r="24" customFormat="false" ht="16" hidden="false" customHeight="false" outlineLevel="0" collapsed="false">
      <c r="A24" s="1" t="s">
        <v>32</v>
      </c>
      <c r="B24" s="18" t="n">
        <f aca="false">B23/$B$4</f>
        <v>0</v>
      </c>
      <c r="C24" s="18" t="n">
        <f aca="false">C23/$B$4</f>
        <v>0.146788142364364</v>
      </c>
      <c r="D24" s="18" t="n">
        <f aca="false">D23/$B$4</f>
        <v>0.2</v>
      </c>
    </row>
    <row r="25" customFormat="false" ht="16" hidden="false" customHeight="false" outlineLevel="0" collapsed="false">
      <c r="A25" s="8" t="s">
        <v>33</v>
      </c>
      <c r="B25" s="14" t="n">
        <f aca="false">$B$7+B24</f>
        <v>16.41</v>
      </c>
      <c r="C25" s="14" t="n">
        <f aca="false">$B$7+C24</f>
        <v>16.5567881423644</v>
      </c>
      <c r="D25" s="14" t="n">
        <f aca="false">$B$7+D24</f>
        <v>16.61</v>
      </c>
    </row>
    <row r="26" customFormat="false" ht="48" hidden="false" customHeight="true" outlineLevel="0" collapsed="false">
      <c r="A26" s="7" t="s">
        <v>34</v>
      </c>
      <c r="B26" s="7"/>
      <c r="C26" s="7"/>
      <c r="D26" s="7"/>
      <c r="E26" s="7"/>
      <c r="F26" s="7"/>
    </row>
    <row r="28" customFormat="false" ht="16" hidden="false" customHeight="false" outlineLevel="0" collapsed="false">
      <c r="A28" s="12" t="s">
        <v>35</v>
      </c>
      <c r="B28" s="13" t="s">
        <v>36</v>
      </c>
      <c r="C28" s="13" t="s">
        <v>37</v>
      </c>
      <c r="D28" s="13" t="s">
        <v>38</v>
      </c>
      <c r="E28" s="13" t="s">
        <v>39</v>
      </c>
      <c r="F28" s="13" t="s">
        <v>40</v>
      </c>
    </row>
    <row r="29" customFormat="false" ht="16" hidden="false" customHeight="false" outlineLevel="0" collapsed="false">
      <c r="A29" s="8" t="s">
        <v>41</v>
      </c>
      <c r="B29" s="11" t="n">
        <v>58000000</v>
      </c>
      <c r="C29" s="11" t="n">
        <v>-2794000</v>
      </c>
      <c r="D29" s="11" t="n">
        <v>-52446000</v>
      </c>
      <c r="E29" s="11" t="n">
        <f aca="false">B29+C29+D29</f>
        <v>2760000</v>
      </c>
      <c r="F29" s="8" t="s">
        <v>42</v>
      </c>
    </row>
    <row r="30" customFormat="false" ht="16" hidden="false" customHeight="false" outlineLevel="0" collapsed="false">
      <c r="A30" s="8" t="s">
        <v>43</v>
      </c>
      <c r="B30" s="11" t="n">
        <v>250000000</v>
      </c>
      <c r="C30" s="11" t="n">
        <v>-7347000</v>
      </c>
      <c r="D30" s="11" t="n">
        <v>-198596000</v>
      </c>
      <c r="E30" s="11" t="n">
        <f aca="false">B30+C30+D30</f>
        <v>44057000</v>
      </c>
      <c r="F30" s="8" t="s">
        <v>44</v>
      </c>
    </row>
    <row r="31" customFormat="false" ht="16" hidden="false" customHeight="false" outlineLevel="0" collapsed="false">
      <c r="A31" s="8" t="s">
        <v>45</v>
      </c>
      <c r="B31" s="11" t="n">
        <v>55000000</v>
      </c>
      <c r="C31" s="11" t="n">
        <v>-2889000</v>
      </c>
      <c r="D31" s="11" t="n">
        <v>0</v>
      </c>
      <c r="E31" s="11" t="n">
        <f aca="false">B31+C31+D31</f>
        <v>52111000</v>
      </c>
      <c r="F31" s="8" t="s">
        <v>46</v>
      </c>
    </row>
    <row r="32" customFormat="false" ht="16" hidden="false" customHeight="false" outlineLevel="0" collapsed="false">
      <c r="A32" s="8" t="s">
        <v>47</v>
      </c>
      <c r="B32" s="11" t="n">
        <v>55000000</v>
      </c>
      <c r="C32" s="11" t="n">
        <v>-3895000</v>
      </c>
      <c r="D32" s="11" t="n">
        <v>0</v>
      </c>
      <c r="E32" s="11" t="n">
        <f aca="false">B32+C32+D32</f>
        <v>51105000</v>
      </c>
      <c r="F32" s="8" t="s">
        <v>46</v>
      </c>
    </row>
    <row r="33" customFormat="false" ht="16" hidden="false" customHeight="false" outlineLevel="0" collapsed="false">
      <c r="A33" s="1" t="s">
        <v>48</v>
      </c>
      <c r="B33" s="15" t="n">
        <f aca="false">SUM(B29:B32)</f>
        <v>418000000</v>
      </c>
      <c r="C33" s="15" t="n">
        <f aca="false">SUM(C29:C32)</f>
        <v>-16925000</v>
      </c>
      <c r="D33" s="15" t="n">
        <f aca="false">SUM(D29:D32)</f>
        <v>-251042000</v>
      </c>
      <c r="E33" s="15" t="n">
        <f aca="false">SUM(E29:E32)</f>
        <v>150033000</v>
      </c>
    </row>
    <row r="34" customFormat="false" ht="16" hidden="false" customHeight="false" outlineLevel="0" collapsed="false">
      <c r="A34" s="8" t="s">
        <v>49</v>
      </c>
      <c r="E34" s="11" t="n">
        <v>41257000</v>
      </c>
    </row>
    <row r="35" customFormat="false" ht="16" hidden="false" customHeight="false" outlineLevel="0" collapsed="false">
      <c r="A35" s="1" t="s">
        <v>50</v>
      </c>
      <c r="E35" s="15" t="n">
        <f aca="false">E33+E34</f>
        <v>191290000</v>
      </c>
    </row>
    <row r="36" customFormat="false" ht="16" hidden="false" customHeight="false" outlineLevel="0" collapsed="false">
      <c r="A36" s="8" t="s">
        <v>51</v>
      </c>
      <c r="E36" s="11" t="n">
        <f aca="false">-B6</f>
        <v>-154612716.42</v>
      </c>
    </row>
    <row r="37" customFormat="false" ht="16" hidden="false" customHeight="false" outlineLevel="0" collapsed="false">
      <c r="A37" s="1" t="s">
        <v>52</v>
      </c>
      <c r="E37" s="17" t="n">
        <f aca="false">E35+E36</f>
        <v>36677283.58</v>
      </c>
    </row>
    <row r="38" customFormat="false" ht="48" hidden="false" customHeight="true" outlineLevel="0" collapsed="false">
      <c r="A38" s="7" t="s">
        <v>53</v>
      </c>
      <c r="B38" s="7"/>
      <c r="C38" s="7"/>
      <c r="D38" s="7"/>
      <c r="E38" s="7"/>
      <c r="F38" s="7"/>
    </row>
    <row r="40" customFormat="false" ht="16" hidden="false" customHeight="false" outlineLevel="0" collapsed="false">
      <c r="A40" s="12" t="s">
        <v>54</v>
      </c>
      <c r="B40" s="13" t="s">
        <v>55</v>
      </c>
      <c r="C40" s="13" t="s">
        <v>56</v>
      </c>
      <c r="D40" s="13" t="s">
        <v>57</v>
      </c>
    </row>
    <row r="41" customFormat="false" ht="16" hidden="false" customHeight="false" outlineLevel="0" collapsed="false">
      <c r="A41" s="8" t="s">
        <v>58</v>
      </c>
      <c r="B41" s="11" t="n">
        <v>418000000</v>
      </c>
      <c r="C41" s="11" t="n">
        <v>0</v>
      </c>
      <c r="D41" s="14" t="n">
        <f aca="false">B41/$B$4</f>
        <v>4.70414088078151</v>
      </c>
    </row>
    <row r="42" customFormat="false" ht="16" hidden="false" customHeight="false" outlineLevel="0" collapsed="false">
      <c r="A42" s="8" t="s">
        <v>59</v>
      </c>
      <c r="B42" s="11" t="n">
        <v>41257000</v>
      </c>
      <c r="C42" s="11" t="n">
        <v>191290000</v>
      </c>
      <c r="D42" s="14" t="n">
        <f aca="false">B42/$B$4</f>
        <v>0.464303206503356</v>
      </c>
    </row>
    <row r="43" customFormat="false" ht="16" hidden="false" customHeight="false" outlineLevel="0" collapsed="false">
      <c r="A43" s="8" t="s">
        <v>20</v>
      </c>
      <c r="B43" s="11" t="n">
        <v>1153000</v>
      </c>
      <c r="C43" s="11" t="n">
        <v>506000</v>
      </c>
      <c r="D43" s="14" t="n">
        <f aca="false">B43/$B$4</f>
        <v>0.0129757761615815</v>
      </c>
    </row>
    <row r="44" customFormat="false" ht="16" hidden="false" customHeight="false" outlineLevel="0" collapsed="false">
      <c r="A44" s="1" t="s">
        <v>21</v>
      </c>
      <c r="B44" s="15" t="n">
        <f aca="false">SUM(B41:B43)</f>
        <v>460410000</v>
      </c>
      <c r="C44" s="15" t="n">
        <f aca="false">SUM(C41:C43)</f>
        <v>191796000</v>
      </c>
      <c r="D44" s="16" t="n">
        <f aca="false">B44/$B$4</f>
        <v>5.18141986344644</v>
      </c>
    </row>
    <row r="45" customFormat="false" ht="16" hidden="false" customHeight="false" outlineLevel="0" collapsed="false">
      <c r="A45" s="8" t="s">
        <v>22</v>
      </c>
      <c r="B45" s="11" t="n">
        <v>36614000</v>
      </c>
      <c r="C45" s="11" t="n">
        <v>21354000</v>
      </c>
      <c r="D45" s="14" t="n">
        <f aca="false">B45/$B$4</f>
        <v>0.412051230164914</v>
      </c>
    </row>
    <row r="46" customFormat="false" ht="16" hidden="false" customHeight="false" outlineLevel="0" collapsed="false">
      <c r="A46" s="8" t="s">
        <v>60</v>
      </c>
      <c r="B46" s="11" t="n">
        <v>251042000</v>
      </c>
      <c r="C46" s="11" t="n">
        <v>0</v>
      </c>
      <c r="D46" s="14" t="n">
        <f aca="false">B46/$B$4</f>
        <v>2.82520797845251</v>
      </c>
    </row>
    <row r="47" customFormat="false" ht="16" hidden="false" customHeight="false" outlineLevel="0" collapsed="false">
      <c r="A47" s="8" t="s">
        <v>23</v>
      </c>
      <c r="B47" s="11" t="n">
        <v>5098000</v>
      </c>
      <c r="C47" s="11" t="n">
        <v>2786000</v>
      </c>
      <c r="D47" s="14" t="n">
        <f aca="false">B47/$B$4</f>
        <v>0.057372512464651</v>
      </c>
    </row>
    <row r="48" customFormat="false" ht="16" hidden="false" customHeight="false" outlineLevel="0" collapsed="false">
      <c r="A48" s="1" t="s">
        <v>24</v>
      </c>
      <c r="B48" s="15" t="n">
        <f aca="false">SUM(B45:B47)</f>
        <v>292754000</v>
      </c>
      <c r="C48" s="15" t="n">
        <f aca="false">SUM(C45:C47)</f>
        <v>24140000</v>
      </c>
      <c r="D48" s="16" t="n">
        <f aca="false">B48/$B$4</f>
        <v>3.29463172108208</v>
      </c>
    </row>
    <row r="49" customFormat="false" ht="16" hidden="false" customHeight="false" outlineLevel="0" collapsed="false">
      <c r="A49" s="1" t="s">
        <v>61</v>
      </c>
      <c r="B49" s="17" t="n">
        <f aca="false">B44-B48</f>
        <v>167656000</v>
      </c>
      <c r="C49" s="17" t="n">
        <f aca="false">C44-C48</f>
        <v>167656000</v>
      </c>
      <c r="D49" s="18" t="n">
        <f aca="false">B49/$B$4</f>
        <v>1.88678814236436</v>
      </c>
    </row>
    <row r="50" customFormat="false" ht="48" hidden="false" customHeight="true" outlineLevel="0" collapsed="false">
      <c r="A50" s="7" t="s">
        <v>62</v>
      </c>
      <c r="B50" s="7"/>
      <c r="C50" s="7"/>
      <c r="D50" s="7"/>
      <c r="E50" s="7"/>
      <c r="F50" s="7"/>
    </row>
    <row r="52" customFormat="false" ht="16" hidden="false" customHeight="false" outlineLevel="0" collapsed="false">
      <c r="A52" s="12" t="s">
        <v>63</v>
      </c>
      <c r="B52" s="13" t="s">
        <v>17</v>
      </c>
    </row>
    <row r="53" customFormat="false" ht="16" hidden="false" customHeight="false" outlineLevel="0" collapsed="false">
      <c r="A53" s="8" t="s">
        <v>64</v>
      </c>
      <c r="B53" s="11" t="n">
        <v>2923000</v>
      </c>
    </row>
    <row r="54" customFormat="false" ht="16" hidden="false" customHeight="false" outlineLevel="0" collapsed="false">
      <c r="A54" s="8" t="s">
        <v>65</v>
      </c>
      <c r="B54" s="11" t="n">
        <v>93000</v>
      </c>
    </row>
    <row r="55" customFormat="false" ht="16" hidden="false" customHeight="false" outlineLevel="0" collapsed="false">
      <c r="A55" s="8" t="s">
        <v>66</v>
      </c>
      <c r="B55" s="11" t="n">
        <v>23006000</v>
      </c>
    </row>
    <row r="56" customFormat="false" ht="16" hidden="false" customHeight="false" outlineLevel="0" collapsed="false">
      <c r="A56" s="8" t="s">
        <v>67</v>
      </c>
      <c r="B56" s="11" t="n">
        <v>12227000</v>
      </c>
    </row>
    <row r="57" customFormat="false" ht="16" hidden="false" customHeight="false" outlineLevel="0" collapsed="false">
      <c r="A57" s="8" t="s">
        <v>68</v>
      </c>
      <c r="B57" s="11" t="n">
        <v>1319000</v>
      </c>
    </row>
    <row r="58" customFormat="false" ht="16" hidden="false" customHeight="false" outlineLevel="0" collapsed="false">
      <c r="A58" s="8" t="s">
        <v>69</v>
      </c>
      <c r="B58" s="11" t="n">
        <v>3078000</v>
      </c>
    </row>
    <row r="59" customFormat="false" ht="16" hidden="false" customHeight="false" outlineLevel="0" collapsed="false">
      <c r="A59" s="1" t="s">
        <v>70</v>
      </c>
      <c r="B59" s="15" t="n">
        <f aca="false">(B55+B56+B57+B58)-(B53+B54)</f>
        <v>36614000</v>
      </c>
    </row>
    <row r="60" customFormat="false" ht="16" hidden="false" customHeight="false" outlineLevel="0" collapsed="false">
      <c r="A60" s="8" t="s">
        <v>71</v>
      </c>
      <c r="B60" s="11" t="n">
        <v>2538000</v>
      </c>
    </row>
    <row r="61" customFormat="false" ht="16" hidden="false" customHeight="false" outlineLevel="0" collapsed="false">
      <c r="A61" s="8" t="s">
        <v>72</v>
      </c>
      <c r="B61" s="11" t="n">
        <v>6672000</v>
      </c>
    </row>
    <row r="62" customFormat="false" ht="16" hidden="false" customHeight="false" outlineLevel="0" collapsed="false">
      <c r="A62" s="8" t="s">
        <v>73</v>
      </c>
      <c r="B62" s="11" t="n">
        <v>2583000</v>
      </c>
    </row>
    <row r="63" customFormat="false" ht="16" hidden="false" customHeight="false" outlineLevel="0" collapsed="false">
      <c r="A63" s="8" t="s">
        <v>74</v>
      </c>
      <c r="B63" s="11" t="n">
        <v>3467000</v>
      </c>
    </row>
    <row r="64" customFormat="false" ht="16" hidden="false" customHeight="false" outlineLevel="0" collapsed="false">
      <c r="A64" s="1" t="s">
        <v>75</v>
      </c>
      <c r="B64" s="15" t="n">
        <f aca="false">B59-SUM(B60:B63)</f>
        <v>21354000</v>
      </c>
    </row>
    <row r="65" customFormat="false" ht="48" hidden="false" customHeight="true" outlineLevel="0" collapsed="false">
      <c r="A65" s="7" t="s">
        <v>76</v>
      </c>
      <c r="B65" s="7"/>
      <c r="C65" s="7"/>
      <c r="D65" s="7"/>
      <c r="E65" s="7"/>
      <c r="F65" s="7"/>
    </row>
    <row r="67" customFormat="false" ht="16" hidden="false" customHeight="false" outlineLevel="0" collapsed="false">
      <c r="A67" s="19" t="s">
        <v>77</v>
      </c>
      <c r="B67" s="19"/>
      <c r="C67" s="19"/>
      <c r="D67" s="19"/>
      <c r="E67" s="19"/>
      <c r="F67" s="19"/>
    </row>
    <row r="68" customFormat="false" ht="48" hidden="false" customHeight="true" outlineLevel="0" collapsed="false">
      <c r="A68" s="20" t="s">
        <v>78</v>
      </c>
      <c r="B68" s="20"/>
      <c r="C68" s="20"/>
      <c r="D68" s="20"/>
      <c r="E68" s="20"/>
      <c r="F68" s="20"/>
    </row>
    <row r="69" customFormat="false" ht="72" hidden="false" customHeight="true" outlineLevel="0" collapsed="false">
      <c r="A69" s="20" t="s">
        <v>79</v>
      </c>
      <c r="B69" s="20"/>
      <c r="C69" s="20"/>
      <c r="D69" s="20"/>
      <c r="E69" s="20"/>
      <c r="F69" s="20"/>
    </row>
    <row r="70" customFormat="false" ht="72" hidden="false" customHeight="true" outlineLevel="0" collapsed="false">
      <c r="A70" s="20" t="s">
        <v>80</v>
      </c>
      <c r="B70" s="20"/>
      <c r="C70" s="20"/>
      <c r="D70" s="20"/>
      <c r="E70" s="20"/>
      <c r="F70" s="20"/>
    </row>
    <row r="71" customFormat="false" ht="60" hidden="false" customHeight="true" outlineLevel="0" collapsed="false">
      <c r="A71" s="20" t="s">
        <v>81</v>
      </c>
      <c r="B71" s="20"/>
      <c r="C71" s="20"/>
      <c r="D71" s="20"/>
      <c r="E71" s="20"/>
      <c r="F71" s="20"/>
    </row>
    <row r="72" customFormat="false" ht="48" hidden="false" customHeight="true" outlineLevel="0" collapsed="false">
      <c r="A72" s="20" t="s">
        <v>82</v>
      </c>
      <c r="B72" s="20"/>
      <c r="C72" s="20"/>
      <c r="D72" s="20"/>
      <c r="E72" s="20"/>
      <c r="F72" s="20"/>
    </row>
    <row r="73" customFormat="false" ht="48" hidden="false" customHeight="true" outlineLevel="0" collapsed="false">
      <c r="A73" s="20" t="s">
        <v>83</v>
      </c>
      <c r="B73" s="20"/>
      <c r="C73" s="20"/>
      <c r="D73" s="20"/>
      <c r="E73" s="20"/>
      <c r="F73" s="20"/>
    </row>
  </sheetData>
  <mergeCells count="17">
    <mergeCell ref="A1:F1"/>
    <mergeCell ref="A2:F2"/>
    <mergeCell ref="C4:F4"/>
    <mergeCell ref="C5:F5"/>
    <mergeCell ref="C7:F7"/>
    <mergeCell ref="A17:F17"/>
    <mergeCell ref="A26:F26"/>
    <mergeCell ref="A38:F38"/>
    <mergeCell ref="A50:F50"/>
    <mergeCell ref="A65:F65"/>
    <mergeCell ref="A67:F67"/>
    <mergeCell ref="A68:F68"/>
    <mergeCell ref="A69:F69"/>
    <mergeCell ref="A70:F70"/>
    <mergeCell ref="A71:F71"/>
    <mergeCell ref="A72:F72"/>
    <mergeCell ref="A73:F73"/>
  </mergeCells>
  <printOptions headings="false" gridLines="false" gridLinesSet="true" horizontalCentered="false" verticalCentered="false"/>
  <pageMargins left="0.5" right="0.5" top="0.6" bottom="0.6"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ELME liquidation estimate</dc:creator>
  <dc:description/>
  <dc:language>en-US</dc:language>
  <cp:lastModifiedBy/>
  <dcterms:modified xsi:type="dcterms:W3CDTF">2026-10-26T13:51:57Z</dcterms:modified>
  <cp:revision>2</cp:revision>
  <dc:subject/>
  <dc:title>ELME investment case</dc:title>
</cp:coreProperties>
</file>

<file path=docProps/custom.xml><?xml version="1.0" encoding="utf-8"?>
<Properties xmlns="http://schemas.openxmlformats.org/officeDocument/2006/custom-properties" xmlns:vt="http://schemas.openxmlformats.org/officeDocument/2006/docPropsVTypes"/>
</file>