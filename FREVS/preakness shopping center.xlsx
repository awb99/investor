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color rgb="001F4E79"/>
      <sz val="13"/>
    </font>
    <font>
      <name val="Calibri"/>
      <b val="1"/>
      <sz val="11"/>
    </font>
    <font>
      <name val="Calibri"/>
      <i val="1"/>
      <color rgb="00333333"/>
      <sz val="10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</fonts>
  <fills count="4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0" pivotButton="0" quotePrefix="0" xfId="0"/>
    <xf numFmtId="3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3" fontId="8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0" fontId="6" fillId="3" borderId="1" applyAlignment="1" pivotButton="0" quotePrefix="0" xfId="0">
      <alignment vertical="center" wrapText="1"/>
    </xf>
    <xf numFmtId="3" fontId="6" fillId="3" borderId="1" applyAlignment="1" pivotButton="0" quotePrefix="0" xfId="0">
      <alignment vertical="center" wrapText="1"/>
    </xf>
    <xf numFmtId="1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21" authorId="0" shapeId="0">
      <text>
        <t>Assumption that changes LOW or HIGH. Source of the starting number is in the row label.</t>
      </text>
    </comment>
    <comment ref="B22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4" customWidth="1" min="3" max="3"/>
    <col width="28" customWidth="1" min="4" max="4"/>
    <col width="36" customWidth="1" min="5" max="5"/>
    <col width="24" customWidth="1" min="6" max="6"/>
  </cols>
  <sheetData>
    <row r="1" ht="24" customHeight="1">
      <c r="A1" s="1" t="inlineStr">
        <is>
          <t>Preakness Shopping Center</t>
        </is>
      </c>
    </row>
    <row r="2">
      <c r="A2" s="2" t="inlineStr">
        <is>
          <t>Wayne, NJ</t>
        </is>
      </c>
    </row>
    <row r="3">
      <c r="A3" s="2" t="inlineStr">
        <is>
          <t>Photos</t>
        </is>
      </c>
      <c r="B3" s="3" t="inlineStr">
        <is>
          <t>https://www.google.com/search?tbm=isch&amp;q=Preakness+Shopping+Center+Wayne+NJ</t>
        </is>
      </c>
    </row>
    <row r="5">
      <c r="A5" s="2" t="inlineStr">
        <is>
          <t>FREIT common ownership</t>
        </is>
      </c>
      <c r="B5" s="4" t="n">
        <v>0.4</v>
      </c>
      <c r="C5" s="5" t="inlineStr">
        <is>
          <t>40% of Wayne PSC, LLC. H-TPKE, LLC owns 60%. FREIT is the managing member. Consolidated. Form 10-K.</t>
        </is>
      </c>
    </row>
    <row r="6">
      <c r="A6" s="2" t="inlineStr">
        <is>
          <t>Year acquired</t>
        </is>
      </c>
      <c r="B6" s="6" t="n">
        <v>2002</v>
      </c>
    </row>
    <row r="7">
      <c r="A7" s="2" t="inlineStr">
        <is>
          <t>Leasable area, square feet</t>
        </is>
      </c>
      <c r="B7" s="7" t="n">
        <v>322142</v>
      </c>
    </row>
    <row r="8">
      <c r="A8" s="2" t="inlineStr">
        <is>
          <t>Average annual occupancy, year ended October 31, 2025</t>
        </is>
      </c>
      <c r="B8" s="8" t="n">
        <v>0.447</v>
      </c>
    </row>
    <row r="9">
      <c r="A9" s="2" t="inlineStr">
        <is>
          <t>Average annualized rent per square foot at October 31, 2025</t>
        </is>
      </c>
      <c r="B9" s="9" t="n">
        <v>14.85</v>
      </c>
    </row>
    <row r="10">
      <c r="A10" s="2" t="inlineStr">
        <is>
          <t>In-place rent if the average is on occupied area</t>
        </is>
      </c>
      <c r="B10" s="7">
        <f>B7*B8*B9</f>
        <v/>
      </c>
      <c r="C10" s="5" t="inlineStr">
        <is>
          <t>Not NOI. The 10-K does not say whether the average is per occupied square foot. Not capitalized.</t>
        </is>
      </c>
    </row>
    <row r="11">
      <c r="A11" s="2" t="inlineStr">
        <is>
          <t>Anchors named in the 10-K</t>
        </is>
      </c>
      <c r="B11" s="2" t="inlineStr">
        <is>
          <t>Stop &amp; Shop 61,020 sq ft; T-Bowl 27,195 sq ft; CVS 8,950 sq ft</t>
        </is>
      </c>
    </row>
    <row r="13" ht="20" customHeight="1">
      <c r="A13" s="10" t="inlineStr">
        <is>
          <t>Book and debt</t>
        </is>
      </c>
      <c r="B13" s="11" t="n"/>
      <c r="C13" s="11" t="n"/>
      <c r="D13" s="11" t="n"/>
      <c r="E13" s="11" t="n"/>
      <c r="F13" s="11" t="n"/>
    </row>
    <row r="14">
      <c r="A14" s="2" t="inlineStr">
        <is>
          <t>Book carrying value of the building, October 31, 2025</t>
        </is>
      </c>
      <c r="B14" s="7" t="n">
        <v>20305000</v>
      </c>
      <c r="C14" s="5" t="inlineStr">
        <is>
          <t>Schedule III: gross $36,100,000 minus accumulated depreciation $15,795,000. Item 2 shows $20,591,000, which also includes the separate 2.1-acre Wayne vacant parcel ($286,000), carried on the other-properties sheet.</t>
        </is>
      </c>
    </row>
    <row r="15">
      <c r="A15" s="2" t="inlineStr">
        <is>
          <t>Mortgage principal, July 31, 2026</t>
        </is>
      </c>
      <c r="B15" s="7" t="n">
        <v>19977000</v>
      </c>
      <c r="C15" s="5" t="inlineStr">
        <is>
          <t>ConnectOne Bank, 6.875%, maturity July 1, 2031, after a $5 million paydown on June 22, 2026. Form 10-Q Note 7.</t>
        </is>
      </c>
    </row>
    <row r="16">
      <c r="A16" s="2" t="inlineStr">
        <is>
          <t>Book real estate minus mortgage</t>
        </is>
      </c>
      <c r="B16" s="12">
        <f>B14-B15</f>
        <v/>
      </c>
    </row>
    <row r="18" ht="20" customHeight="1">
      <c r="A18" s="10" t="inlineStr">
        <is>
          <t>Claims inside Wayne PSC that do not change FREIT's 40% economics</t>
        </is>
      </c>
      <c r="B18" s="11" t="n"/>
      <c r="C18" s="11" t="n"/>
      <c r="D18" s="11" t="n"/>
      <c r="E18" s="11" t="n"/>
      <c r="F18" s="11" t="n"/>
    </row>
    <row r="19" ht="96" customHeight="1">
      <c r="A19" s="13" t="inlineStr">
        <is>
          <t>On June 17, 2026 FREIT contributed $2,000,000 for a 40% preferred interest and Hekemian family members contributed $3,000,000 for a 60% preferred interest. The preferred return is 15% cumulative, then unpaid preferred capital, then common 40/60. FREIT is 40% of the preferred and 40% of the common, so a third party does not take a different share. Member notes at July 31, 2026, including interest: FREIT $462,024 (eliminated in consolidation) and H-TPKE $693,036 (the $693,000 due-to-affiliate on the balance sheet). Interest reserve was replenished to $1,550,000, of which FREIT funded $458,056. None of these are deducted again in the investment case. The case changes value only by 40% of (your price − this carrying value).</t>
        </is>
      </c>
    </row>
    <row r="20" ht="20" customHeight="1">
      <c r="A20" s="10" t="inlineStr">
        <is>
          <t>Price inputs — leave blank until you have a price</t>
        </is>
      </c>
      <c r="B20" s="11" t="n"/>
      <c r="C20" s="11" t="n"/>
      <c r="D20" s="11" t="n"/>
      <c r="E20" s="11" t="n"/>
      <c r="F20" s="11" t="n"/>
    </row>
    <row r="21">
      <c r="A21" s="2" t="inlineStr">
        <is>
          <t>LOW sale price, 100% of the center</t>
        </is>
      </c>
      <c r="B21" s="14" t="n"/>
      <c r="C21" s="5" t="inlineStr">
        <is>
          <t>Blank. No contract, appraisal, or property NOI in the filings.</t>
        </is>
      </c>
    </row>
    <row r="22">
      <c r="A22" s="2" t="inlineStr">
        <is>
          <t>HIGH sale price, 100% of the center</t>
        </is>
      </c>
      <c r="B22" s="14" t="n"/>
    </row>
    <row r="23">
      <c r="A23" s="2" t="inlineStr">
        <is>
          <t>LOW</t>
        </is>
      </c>
      <c r="B23" s="7">
        <f>IF(B21="","",B21)</f>
        <v/>
      </c>
    </row>
    <row r="24">
      <c r="A24" s="2" t="inlineStr">
        <is>
          <t>HIGH</t>
        </is>
      </c>
      <c r="B24" s="7">
        <f>IF(B22="","",B22)</f>
        <v/>
      </c>
    </row>
    <row r="26" ht="72" customHeight="1">
      <c r="A26" s="13" t="inlineStr">
        <is>
          <t>LOW and HIGH are blank on purpose. Sibling models capitalize NOI (brooks.xlsx, the hotels) or use a contract. This center has neither a disclosed NOI nor a contract. Holding it at book inside common equity is the investment-case treatment until both price cells above are filled. Do not apply the hotel 9.5% / 10.5% discount rates; those are for the Mayflower and the Courtland Grand, not for a shopping center.</t>
        </is>
      </c>
    </row>
    <row r="100">
      <c r="A100" s="15" t="inlineStr">
        <is>
          <t>Outputs read by investment-case.xlsx. Dollars, 100% of the property. Do not move these rows.</t>
        </is>
      </c>
    </row>
    <row r="101">
      <c r="A101" s="16" t="inlineStr">
        <is>
          <t>Ownership</t>
        </is>
      </c>
      <c r="B101" s="17">
        <f>B5</f>
        <v/>
      </c>
    </row>
    <row r="102">
      <c r="A102" s="16" t="inlineStr">
        <is>
          <t>Book carrying value</t>
        </is>
      </c>
      <c r="B102" s="18">
        <f>B14</f>
        <v/>
      </c>
    </row>
    <row r="103">
      <c r="A103" s="16" t="inlineStr">
        <is>
          <t>LOW</t>
        </is>
      </c>
      <c r="B103" s="18">
        <f>B23</f>
        <v/>
      </c>
    </row>
    <row r="104">
      <c r="A104" s="16" t="inlineStr">
        <is>
          <t>HIGH</t>
        </is>
      </c>
      <c r="B104" s="18">
        <f>B24</f>
        <v/>
      </c>
    </row>
    <row r="105">
      <c r="A105" s="16" t="inlineStr">
        <is>
          <t>Estimate flag (1 = use LOW/HIGH, 0 = leave blank and hold at book)</t>
        </is>
      </c>
      <c r="B105" s="19">
        <f>IF(OR(B21="",B22=""),0,1)</f>
        <v/>
      </c>
    </row>
    <row r="106">
      <c r="A106" s="16" t="inlineStr">
        <is>
          <t>Mortgage</t>
        </is>
      </c>
      <c r="B106" s="18">
        <f>B15</f>
        <v/>
      </c>
    </row>
    <row r="107">
      <c r="A107" s="16" t="inlineStr">
        <is>
          <t>NOI used</t>
        </is>
      </c>
      <c r="B107" s="18" t="n"/>
    </row>
    <row r="108">
      <c r="A108" s="16" t="inlineStr">
        <is>
          <t>Method</t>
        </is>
      </c>
      <c r="B108" s="20" t="inlineStr">
        <is>
          <t>Not estimated. No property NOI, appraisal, or sale contract in the filings. Blank LOW and HIGH. Estate keeps the carrying value that is already in common equity.</t>
        </is>
      </c>
    </row>
  </sheetData>
  <mergeCells count="6">
    <mergeCell ref="A13:F13"/>
    <mergeCell ref="A19:F19"/>
    <mergeCell ref="A18:F18"/>
    <mergeCell ref="A100:F100"/>
    <mergeCell ref="A26:F26"/>
    <mergeCell ref="A20:F20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