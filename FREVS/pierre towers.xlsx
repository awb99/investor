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color rgb="001F4E79"/>
      <sz val="13"/>
    </font>
    <font>
      <name val="Calibri"/>
      <b val="1"/>
      <sz val="11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pivotButton="0" quotePrefix="0" xfId="0"/>
    <xf numFmtId="3" fontId="6" fillId="0" borderId="0" applyAlignment="1" pivotButton="0" quotePrefix="0" xfId="0">
      <alignment vertical="center" wrapText="1"/>
    </xf>
    <xf numFmtId="10" fontId="7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1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8" customWidth="1" min="1" max="1"/>
    <col width="20" customWidth="1" min="2" max="2"/>
    <col width="20" customWidth="1" min="3" max="3"/>
    <col width="22" customWidth="1" min="4" max="4"/>
    <col width="36" customWidth="1" min="5" max="5"/>
    <col width="24" customWidth="1" min="6" max="6"/>
  </cols>
  <sheetData>
    <row r="1" ht="24" customHeight="1">
      <c r="A1" s="1" t="inlineStr">
        <is>
          <t>Pierre Towers</t>
        </is>
      </c>
    </row>
    <row r="2">
      <c r="A2" s="2" t="inlineStr">
        <is>
          <t>Hackensack, NJ</t>
        </is>
      </c>
    </row>
    <row r="3">
      <c r="A3" s="2" t="inlineStr">
        <is>
          <t>Photos</t>
        </is>
      </c>
      <c r="B3" s="3" t="inlineStr">
        <is>
          <t>https://www.google.com/search?tbm=isch&amp;q=Pierre+Towers+Hackensack+NJ</t>
        </is>
      </c>
    </row>
    <row r="5">
      <c r="A5" s="2" t="inlineStr">
        <is>
          <t>FREIT ownership</t>
        </is>
      </c>
      <c r="B5" s="4" t="n">
        <v>0.65</v>
      </c>
      <c r="C5" s="5" t="inlineStr">
        <is>
          <t>65% undivided tenancy-in-common interest. Equity method, not consolidated. Form 10-Q Note 5 and DEFM14A.</t>
        </is>
      </c>
    </row>
    <row r="6">
      <c r="A6" s="2" t="inlineStr">
        <is>
          <t>Apartment units</t>
        </is>
      </c>
      <c r="B6" s="6" t="n">
        <v>266</v>
      </c>
      <c r="C6" s="5" t="inlineStr">
        <is>
          <t>Form 10-K. Purchased April 15, 2004 by the former S&amp;A partnership.</t>
        </is>
      </c>
    </row>
    <row r="7">
      <c r="A7" s="2" t="inlineStr">
        <is>
          <t>Square feet</t>
        </is>
      </c>
      <c r="B7" s="2" t="n"/>
      <c r="C7" s="5" t="inlineStr">
        <is>
          <t>Not disclosed.</t>
        </is>
      </c>
    </row>
    <row r="9" ht="20" customHeight="1">
      <c r="A9" s="7" t="inlineStr">
        <is>
          <t>Filed results, year ended October 31, 2025 (Form 10-K Note 3)</t>
        </is>
      </c>
      <c r="B9" s="8" t="n"/>
      <c r="C9" s="8" t="n"/>
      <c r="D9" s="8" t="n"/>
      <c r="E9" s="8" t="n"/>
      <c r="F9" s="8" t="n"/>
    </row>
    <row r="10">
      <c r="A10" s="2" t="inlineStr">
        <is>
          <t>Revenue</t>
        </is>
      </c>
      <c r="B10" s="6" t="n">
        <v>8669000</v>
      </c>
    </row>
    <row r="11">
      <c r="A11" s="2" t="inlineStr">
        <is>
          <t>Operating expenses</t>
        </is>
      </c>
      <c r="B11" s="6" t="n">
        <v>5141000</v>
      </c>
    </row>
    <row r="12">
      <c r="A12" s="2" t="inlineStr">
        <is>
          <t>NOI used (revenue minus operating expenses)</t>
        </is>
      </c>
      <c r="B12" s="9">
        <f>B10-B11</f>
        <v/>
      </c>
      <c r="C12" s="5" t="inlineStr">
        <is>
          <t>Depreciation is excluded. Fiscal 2025 depreciation was $2,270,000.</t>
        </is>
      </c>
    </row>
    <row r="14">
      <c r="A14" s="2" t="inlineStr">
        <is>
          <t>Nine months ended July 31, 2026, revenue</t>
        </is>
      </c>
      <c r="B14" s="6" t="n">
        <v>6793000</v>
      </c>
      <c r="C14" s="5" t="inlineStr">
        <is>
          <t>Form 10-Q Note 5. Reference only.</t>
        </is>
      </c>
    </row>
    <row r="15">
      <c r="A15" s="2" t="inlineStr">
        <is>
          <t>Nine months ended July 31, 2026, operating expenses</t>
        </is>
      </c>
      <c r="B15" s="6" t="n">
        <v>4044000</v>
      </c>
    </row>
    <row r="16">
      <c r="A16" s="2" t="inlineStr">
        <is>
          <t>Nine-month NOI, annualized × 12/9</t>
        </is>
      </c>
      <c r="B16" s="6">
        <f>(B14-B15)*12/9</f>
        <v/>
      </c>
      <c r="C16" s="5" t="inlineStr">
        <is>
          <t>Not used for LOW or HIGH. Question: use this instead of fiscal 2025.</t>
        </is>
      </c>
    </row>
    <row r="18" ht="20" customHeight="1">
      <c r="A18" s="7" t="inlineStr">
        <is>
          <t>Cap rates</t>
        </is>
      </c>
      <c r="B18" s="8" t="n"/>
      <c r="C18" s="8" t="n"/>
      <c r="D18" s="8" t="n"/>
      <c r="E18" s="8" t="n"/>
      <c r="F18" s="8" t="n"/>
    </row>
    <row r="19">
      <c r="A19" s="2" t="inlineStr">
        <is>
          <t>LOW cap rate</t>
        </is>
      </c>
      <c r="B19" s="10" t="n">
        <v>0.055</v>
      </c>
      <c r="C19" s="5" t="inlineStr">
        <is>
          <t>Same labeled LOW cap rate as the brooks.xlsx.</t>
        </is>
      </c>
    </row>
    <row r="20">
      <c r="A20" s="2" t="inlineStr">
        <is>
          <t>HIGH cap rate</t>
        </is>
      </c>
      <c r="B20" s="10" t="n">
        <v>0.05</v>
      </c>
      <c r="C20" s="5" t="inlineStr">
        <is>
          <t>Same labeled HIGH cap rate as the brooks.xlsx.</t>
        </is>
      </c>
    </row>
    <row r="21">
      <c r="A21" s="2" t="inlineStr">
        <is>
          <t>AIV multifamily reference</t>
        </is>
      </c>
      <c r="B21" s="11" t="n">
        <v>0.056</v>
      </c>
    </row>
    <row r="22">
      <c r="A22" s="2" t="inlineStr">
        <is>
          <t>Proxy blended reference</t>
        </is>
      </c>
      <c r="B22" s="11" t="n">
        <v>0.0563</v>
      </c>
    </row>
    <row r="24" ht="20" customHeight="1">
      <c r="A24" s="7" t="inlineStr">
        <is>
          <t>Book and debt at July 31, 2026 (Form 10-Q Note 5)</t>
        </is>
      </c>
      <c r="B24" s="8" t="n"/>
      <c r="C24" s="8" t="n"/>
      <c r="D24" s="8" t="n"/>
      <c r="E24" s="8" t="n"/>
      <c r="F24" s="8" t="n"/>
    </row>
    <row r="25">
      <c r="A25" s="2" t="inlineStr">
        <is>
          <t>Real estate, net, 100%</t>
        </is>
      </c>
      <c r="B25" s="6" t="n">
        <v>71023000</v>
      </c>
    </row>
    <row r="26">
      <c r="A26" s="2" t="inlineStr">
        <is>
          <t>Mortgage, net of unamortized debt issuance costs, 100%</t>
        </is>
      </c>
      <c r="B26" s="6" t="n">
        <v>45258000</v>
      </c>
      <c r="C26" s="5" t="inlineStr">
        <is>
          <t>Gross principal and the interest rate are not disclosed.</t>
        </is>
      </c>
    </row>
    <row r="27">
      <c r="A27" s="2" t="inlineStr">
        <is>
          <t>Cash</t>
        </is>
      </c>
      <c r="B27" s="6" t="n">
        <v>576000</v>
      </c>
    </row>
    <row r="28">
      <c r="A28" s="2" t="inlineStr">
        <is>
          <t>Tenants' security accounts</t>
        </is>
      </c>
      <c r="B28" s="6" t="n">
        <v>623000</v>
      </c>
    </row>
    <row r="29">
      <c r="A29" s="2" t="inlineStr">
        <is>
          <t>Receivables and other assets</t>
        </is>
      </c>
      <c r="B29" s="6" t="n">
        <v>643000</v>
      </c>
    </row>
    <row r="30">
      <c r="A30" s="2" t="inlineStr">
        <is>
          <t>Accounts payable and accrued expenses</t>
        </is>
      </c>
      <c r="B30" s="6" t="n">
        <v>710000</v>
      </c>
    </row>
    <row r="31">
      <c r="A31" s="2" t="inlineStr">
        <is>
          <t>Reimbursement due to FREIT</t>
        </is>
      </c>
      <c r="B31" s="6" t="n">
        <v>209000</v>
      </c>
    </row>
    <row r="32">
      <c r="A32" s="2" t="inlineStr">
        <is>
          <t>Tenants' security deposits</t>
        </is>
      </c>
      <c r="B32" s="6" t="n">
        <v>638000</v>
      </c>
    </row>
    <row r="33">
      <c r="A33" s="2" t="inlineStr">
        <is>
          <t>Deferred revenue</t>
        </is>
      </c>
      <c r="B33" s="6" t="n">
        <v>180000</v>
      </c>
    </row>
    <row r="34">
      <c r="A34" s="2" t="inlineStr">
        <is>
          <t>Equity on the property balance sheet</t>
        </is>
      </c>
      <c r="B34" s="6" t="n">
        <v>25870000</v>
      </c>
    </row>
    <row r="35">
      <c r="A35" s="2" t="inlineStr">
        <is>
          <t>FREIT book claim (65% of equity + 100% of the reimbursement)</t>
        </is>
      </c>
      <c r="B35" s="6">
        <f>0.65*25870000+B31</f>
        <v/>
      </c>
      <c r="C35" s="5" t="inlineStr">
        <is>
          <t>Ties to the $17,025,000 tenancy-in-common asset on the July 31, 2026 balance sheet.</t>
        </is>
      </c>
    </row>
    <row r="37" ht="20" customHeight="1">
      <c r="A37" s="7" t="inlineStr">
        <is>
          <t>Valuation of the real estate, 100%</t>
        </is>
      </c>
      <c r="B37" s="8" t="n"/>
      <c r="C37" s="8" t="n"/>
      <c r="D37" s="8" t="n"/>
      <c r="E37" s="8" t="n"/>
      <c r="F37" s="8" t="n"/>
    </row>
    <row r="38" ht="32" customHeight="1">
      <c r="A38" s="12" t="inlineStr">
        <is>
          <t>Scenario</t>
        </is>
      </c>
      <c r="B38" s="12" t="inlineStr">
        <is>
          <t>Cap rate</t>
        </is>
      </c>
      <c r="C38" s="12" t="inlineStr">
        <is>
          <t>Value</t>
        </is>
      </c>
      <c r="D38" s="12" t="inlineStr">
        <is>
          <t>Premium to book real estate</t>
        </is>
      </c>
      <c r="E38" s="12" t="inlineStr">
        <is>
          <t>Role</t>
        </is>
      </c>
    </row>
    <row r="39">
      <c r="A39" s="2" t="inlineStr">
        <is>
          <t>LOW, fiscal 2025 NOI / 5.5%</t>
        </is>
      </c>
      <c r="B39" s="11">
        <f>B19</f>
        <v/>
      </c>
      <c r="C39" s="9">
        <f>$B$12/B39</f>
        <v/>
      </c>
      <c r="D39" s="13">
        <f>C39/$B$25-1</f>
        <v/>
      </c>
      <c r="E39" s="5" t="inlineStr">
        <is>
          <t>LOW</t>
        </is>
      </c>
    </row>
    <row r="40">
      <c r="A40" s="2" t="inlineStr">
        <is>
          <t>HIGH, fiscal 2025 NOI / 5.0%</t>
        </is>
      </c>
      <c r="B40" s="11">
        <f>B20</f>
        <v/>
      </c>
      <c r="C40" s="9">
        <f>$B$12/B40</f>
        <v/>
      </c>
      <c r="D40" s="13">
        <f>C40/$B$25-1</f>
        <v/>
      </c>
      <c r="E40" s="5" t="inlineStr">
        <is>
          <t>HIGH</t>
        </is>
      </c>
    </row>
    <row r="41">
      <c r="A41" s="2" t="inlineStr">
        <is>
          <t>Reference, fiscal 2025 NOI / 5.6%</t>
        </is>
      </c>
      <c r="B41" s="11">
        <f>B21</f>
        <v/>
      </c>
      <c r="C41" s="9">
        <f>$B$12/B41</f>
        <v/>
      </c>
      <c r="D41" s="13">
        <f>C41/$B$25-1</f>
        <v/>
      </c>
      <c r="E41" s="5" t="inlineStr">
        <is>
          <t>reference</t>
        </is>
      </c>
    </row>
    <row r="42">
      <c r="A42" s="2" t="inlineStr">
        <is>
          <t>Reference, fiscal 2025 NOI / 5.63%</t>
        </is>
      </c>
      <c r="B42" s="11">
        <f>B22</f>
        <v/>
      </c>
      <c r="C42" s="9">
        <f>$B$12/B42</f>
        <v/>
      </c>
      <c r="D42" s="13">
        <f>C42/$B$25-1</f>
        <v/>
      </c>
      <c r="E42" s="5" t="inlineStr">
        <is>
          <t>reference</t>
        </is>
      </c>
    </row>
    <row r="43">
      <c r="A43" s="2" t="inlineStr">
        <is>
          <t>Reference, annualized nine-month NOI / 5.5%</t>
        </is>
      </c>
      <c r="B43" s="11">
        <f>B19</f>
        <v/>
      </c>
      <c r="C43" s="6">
        <f>$B$16/B43</f>
        <v/>
      </c>
      <c r="D43" s="13">
        <f>C43/$B$25-1</f>
        <v/>
      </c>
      <c r="E43" s="5" t="inlineStr">
        <is>
          <t>reference, not used</t>
        </is>
      </c>
    </row>
    <row r="45" ht="78" customHeight="1">
      <c r="A45" s="14" t="inlineStr">
        <is>
          <t>Management fees are 5% of rents collected and are already inside operating expenses (about $446,000 in fiscal 2025 and $326,000 in the nine months ended July 31, 2026). The other 35% is owned by Robert S. Hekemian, Jr., David B. Hekemian, Allan Tubin, and members of the Hekemian family. The investment case adjusts common equity by 65% of (this value − the $71,023,000 carrying value). The mortgage and the working capital stay inside the July 31 common equity through the tenancy-in-common asset, so they are not deducted again.</t>
        </is>
      </c>
    </row>
    <row r="100">
      <c r="A100" s="15" t="inlineStr">
        <is>
          <t>Outputs read by investment-case.xlsx. Dollars, 100% of the property. Do not move these rows.</t>
        </is>
      </c>
    </row>
    <row r="101">
      <c r="A101" s="16" t="inlineStr">
        <is>
          <t>Ownership</t>
        </is>
      </c>
      <c r="B101" s="17">
        <f>B5</f>
        <v/>
      </c>
    </row>
    <row r="102">
      <c r="A102" s="16" t="inlineStr">
        <is>
          <t>Book carrying value</t>
        </is>
      </c>
      <c r="B102" s="18">
        <f>B25</f>
        <v/>
      </c>
    </row>
    <row r="103">
      <c r="A103" s="16" t="inlineStr">
        <is>
          <t>LOW</t>
        </is>
      </c>
      <c r="B103" s="18">
        <f>C39</f>
        <v/>
      </c>
    </row>
    <row r="104">
      <c r="A104" s="16" t="inlineStr">
        <is>
          <t>HIGH</t>
        </is>
      </c>
      <c r="B104" s="18">
        <f>C40</f>
        <v/>
      </c>
    </row>
    <row r="105">
      <c r="A105" s="16" t="inlineStr">
        <is>
          <t>Estimate flag (1 = use LOW/HIGH, 0 = leave blank and hold at book)</t>
        </is>
      </c>
      <c r="B105" s="19" t="n">
        <v>1</v>
      </c>
    </row>
    <row r="106">
      <c r="A106" s="16" t="inlineStr">
        <is>
          <t>Mortgage</t>
        </is>
      </c>
      <c r="B106" s="18">
        <f>B26</f>
        <v/>
      </c>
    </row>
    <row r="107">
      <c r="A107" s="16" t="inlineStr">
        <is>
          <t>NOI used</t>
        </is>
      </c>
      <c r="B107" s="18">
        <f>B12</f>
        <v/>
      </c>
    </row>
    <row r="108">
      <c r="A108" s="16" t="inlineStr">
        <is>
          <t>Method</t>
        </is>
      </c>
      <c r="B108" s="20" t="inlineStr">
        <is>
          <t>Filing NOI (fiscal 2025) capitalized at the brooks.xlsx 5.5% / 5.0% pair. Cap rates are the method; NOI is filed.</t>
        </is>
      </c>
    </row>
  </sheetData>
  <mergeCells count="6">
    <mergeCell ref="A24:F24"/>
    <mergeCell ref="A45:F45"/>
    <mergeCell ref="A37:F37"/>
    <mergeCell ref="A9:F9"/>
    <mergeCell ref="A18:F18"/>
    <mergeCell ref="A100:F100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