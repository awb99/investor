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4.xml" ContentType="application/vnd.openxmlformats-officedocument.spreadsheetml.externalLink+xml"/>
  <Override PartName="/xl/externalLinks/externalLink10.xml" ContentType="application/vnd.openxmlformats-officedocument.spreadsheetml.externalLink+xml"/>
  <Override PartName="/xl/externalLinks/externalLink6.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questions" sheetId="2"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FREVS model</author>
  </authors>
  <commentList>
    <comment ref="B75" authorId="0">
      <text>
        <r>
          <rPr>
            <sz val="10"/>
            <rFont val="Arial"/>
            <family val="2"/>
          </rPr>
          <t xml:space="preserve">Assumption that changes LOW or HIGH. Source of the starting number is in the row label.</t>
        </r>
      </text>
    </comment>
  </commentList>
</comments>
</file>

<file path=xl/sharedStrings.xml><?xml version="1.0" encoding="utf-8"?>
<sst xmlns="http://schemas.openxmlformats.org/spreadsheetml/2006/main" count="245" uniqueCount="218">
  <si>
    <t xml:space="preserve">FREVS investment case</t>
  </si>
  <si>
    <t xml:space="preserve">First Real Estate Investment Trust of New Jersey, Inc.</t>
  </si>
  <si>
    <t xml:space="preserve">Tickers</t>
  </si>
  <si>
    <t xml:space="preserve">FREVS, formerly FREIT</t>
  </si>
  <si>
    <t xml:space="preserve">OTC Pink. CIK 0000036840. The registrant name dropped the comma-Inc. form on April 3, 2025; the trading symbol on the filings is FREVS.</t>
  </si>
  <si>
    <t xml:space="preserve">Common shares</t>
  </si>
  <si>
    <t xml:space="preserve">7,482,432 shares issued and outstanding at July 31, 2026. Form 10-Q balance sheet (filed September 11, 2026) and DEFM14A record date (filed August 4, 2026). Basic and diluted are the same: no options. Votes at the September 29, 2026 meeting were 5,085,293 for, 6,503 against, and 22,260 abstentions (Form 8-K filed September 30, 2026). Votes cast are not the share count.</t>
  </si>
  <si>
    <t xml:space="preserve">Initial liquidating distribution, $ per share</t>
  </si>
  <si>
    <t xml:space="preserve">Declared September 30, 2026. Record October 14, 2026. Payable October 29, 2026. Form 8-K filed September 30, 2026. Not on the July 31 balance sheet.</t>
  </si>
  <si>
    <t xml:space="preserve">Cash required for that distribution</t>
  </si>
  <si>
    <t xml:space="preserve">The pro forma column below takes this out of Treasury securities, which rose after the Franklin Crossing sale. That funding choice is an assumption.</t>
  </si>
  <si>
    <t xml:space="preserve">Balance sheet — July 31, 2026, unaudited Form 10-Q filed September 11, 2026. Dollars, not thousands.</t>
  </si>
  <si>
    <t xml:space="preserve">Line</t>
  </si>
  <si>
    <t xml:space="preserve">July 31, 2026 $</t>
  </si>
  <si>
    <t xml:space="preserve">July 31, 2026 $/sh</t>
  </si>
  <si>
    <t xml:space="preserve">After $3.20 $</t>
  </si>
  <si>
    <t xml:space="preserve">After $3.20 $/sh</t>
  </si>
  <si>
    <t xml:space="preserve">Moves with the $3.20?</t>
  </si>
  <si>
    <t xml:space="preserve">Filing line</t>
  </si>
  <si>
    <t xml:space="preserve">Real estate, net of depreciation</t>
  </si>
  <si>
    <t xml:space="preserve">No</t>
  </si>
  <si>
    <t xml:space="preserve">10-Q balance sheet</t>
  </si>
  <si>
    <t xml:space="preserve">Construction in progress</t>
  </si>
  <si>
    <t xml:space="preserve">Cash and cash equivalents</t>
  </si>
  <si>
    <t xml:space="preserve">U.S. Treasury securities, available for sale</t>
  </si>
  <si>
    <t xml:space="preserve">Yes — pro forma reduces Treasuries</t>
  </si>
  <si>
    <t xml:space="preserve">10-Q balance sheet. Fair value. The $3.20 is taken from this line in the pro forma.</t>
  </si>
  <si>
    <t xml:space="preserve">Investment in tenancy-in-common (Pierre Towers, 65%)</t>
  </si>
  <si>
    <t xml:space="preserve">10-Q balance sheet. Equity-method claim, not the gross building.</t>
  </si>
  <si>
    <t xml:space="preserve">Tenants' security accounts</t>
  </si>
  <si>
    <t xml:space="preserve">Straight-line rent receivable</t>
  </si>
  <si>
    <t xml:space="preserve">Accounts receivable, net</t>
  </si>
  <si>
    <t xml:space="preserve">Allowance $104,000.</t>
  </si>
  <si>
    <t xml:space="preserve">Prepaid expenses and other assets</t>
  </si>
  <si>
    <t xml:space="preserve">Includes mortgage escrows of $3,517,000 (10-Q cash-flow note).</t>
  </si>
  <si>
    <t xml:space="preserve">Deferred charges, net</t>
  </si>
  <si>
    <t xml:space="preserve">Interest rate swap</t>
  </si>
  <si>
    <t xml:space="preserve">Station Place swap. 10-Q Note 4.</t>
  </si>
  <si>
    <t xml:space="preserve">Total assets</t>
  </si>
  <si>
    <t xml:space="preserve">Filing total $165,496,000.</t>
  </si>
  <si>
    <t xml:space="preserve">Mortgages payable, gross</t>
  </si>
  <si>
    <t xml:space="preserve">10-Q Note 7. Does not include the Pierre Towers mortgage, which is inside the equity-method investment.</t>
  </si>
  <si>
    <t xml:space="preserve">Unamortized debt issuance costs</t>
  </si>
  <si>
    <t xml:space="preserve">Contra-liability. Economic payoff is the gross principal.</t>
  </si>
  <si>
    <t xml:space="preserve">Mortgages payable, net</t>
  </si>
  <si>
    <t xml:space="preserve">Filing net $114,244,000.</t>
  </si>
  <si>
    <t xml:space="preserve">Due to affiliate</t>
  </si>
  <si>
    <t xml:space="preserve">Equals the H-TPKE member note at Preakness, $693,036 including interest. 10-Q Note 6.</t>
  </si>
  <si>
    <t xml:space="preserve">Accounts payable and accrued expenses</t>
  </si>
  <si>
    <t xml:space="preserve">Dividends payable</t>
  </si>
  <si>
    <t xml:space="preserve">The $0.10 quarterly dividend declared July 16, 2026, paid September 14, 2026. Already charged to equity. The $3.20 is not in this line.</t>
  </si>
  <si>
    <t xml:space="preserve">Tenants' security deposits</t>
  </si>
  <si>
    <t xml:space="preserve">Deferred revenue</t>
  </si>
  <si>
    <t xml:space="preserve">Total liabilities</t>
  </si>
  <si>
    <t xml:space="preserve">Filing total liabilities $118,259,000.</t>
  </si>
  <si>
    <t xml:space="preserve">Common equity</t>
  </si>
  <si>
    <t xml:space="preserve">Yes</t>
  </si>
  <si>
    <t xml:space="preserve">Common stock $75,000 + additional paid-in capital $32,533,000 + retained earnings $20,837,000 + accumulated other comprehensive income $221,000. Preferred stock is authorized and unissued.</t>
  </si>
  <si>
    <t xml:space="preserve">Noncontrolling interests</t>
  </si>
  <si>
    <t xml:space="preserve">Negative. The 60% partners in Westwood Hills and Wayne PSC. Not a preferred stock claim.</t>
  </si>
  <si>
    <t xml:space="preserve">Total equity</t>
  </si>
  <si>
    <t xml:space="preserve">Filing total equity $47,237,000.</t>
  </si>
  <si>
    <t xml:space="preserve">Balance-sheet check (assets − liabilities − equity)</t>
  </si>
  <si>
    <t xml:space="preserve">Zero means the lines above tie to the filing totals.</t>
  </si>
  <si>
    <t xml:space="preserve">Book equity per share is common equity divided by 7,482,432. The $3.20 column is a pro forma, not a reported balance sheet. It reduces Treasury securities and common equity. A buyer after the October 14, 2026 record date does not receive the $3.20. The decision column is the after-$3.20 column. The proxy range of $24.44 to $30.03 is the total of all liquidating distributions, so it is comparable to value before subtracting the $3.20. The $3.20 is the first slice of that total, not an extra amount.</t>
  </si>
  <si>
    <t xml:space="preserve">Property values. BOOK / LOW / HIGH. Linked to the property workbooks.</t>
  </si>
  <si>
    <t xml:space="preserve">Each property file keeps 100% of the asset. This sheet multiplies by FREIT's ownership. Where the property file's estimate flag is 0, LOW and HIGH are blank here and the estate bridge makes no adjustment, so that asset stays at the carrying value already inside common equity. Blank is not zero. Debt is not deducted again in the bridge: the July 31 common equity is already after debt, cash, working capital, the Pierre equity-method asset, and the noncontrolling interest.</t>
  </si>
  <si>
    <t xml:space="preserve">Property</t>
  </si>
  <si>
    <t xml:space="preserve">Workbook</t>
  </si>
  <si>
    <t xml:space="preserve">Ownership</t>
  </si>
  <si>
    <t xml:space="preserve">BOOK 100%</t>
  </si>
  <si>
    <t xml:space="preserve">LOW 100%</t>
  </si>
  <si>
    <t xml:space="preserve">HIGH 100%</t>
  </si>
  <si>
    <t xml:space="preserve">BOOK FREIT</t>
  </si>
  <si>
    <t xml:space="preserve">LOW FREIT</t>
  </si>
  <si>
    <t xml:space="preserve">HIGH FREIT</t>
  </si>
  <si>
    <t xml:space="preserve">Adj. LOW</t>
  </si>
  <si>
    <t xml:space="preserve">Adj. HIGH</t>
  </si>
  <si>
    <t xml:space="preserve">Method</t>
  </si>
  <si>
    <t xml:space="preserve">Pierre Towers</t>
  </si>
  <si>
    <t xml:space="preserve">pierre towers.xlsx</t>
  </si>
  <si>
    <t xml:space="preserve">Westwood Hills</t>
  </si>
  <si>
    <t xml:space="preserve">westwood hills.xlsx</t>
  </si>
  <si>
    <t xml:space="preserve">Berdan Court</t>
  </si>
  <si>
    <t xml:space="preserve">berdan court.xlsx</t>
  </si>
  <si>
    <t xml:space="preserve">Boulders at Rockaway</t>
  </si>
  <si>
    <t xml:space="preserve">boulders.xlsx</t>
  </si>
  <si>
    <t xml:space="preserve">The Regency Club</t>
  </si>
  <si>
    <t xml:space="preserve">regency club.xlsx</t>
  </si>
  <si>
    <t xml:space="preserve">Station Place</t>
  </si>
  <si>
    <t xml:space="preserve">station place.xlsx</t>
  </si>
  <si>
    <t xml:space="preserve">Steuben Arms</t>
  </si>
  <si>
    <t xml:space="preserve">steuben arms.xlsx</t>
  </si>
  <si>
    <t xml:space="preserve">Westwood Plaza</t>
  </si>
  <si>
    <t xml:space="preserve">westwood plaza.xlsx</t>
  </si>
  <si>
    <t xml:space="preserve">Preakness Shopping Center</t>
  </si>
  <si>
    <t xml:space="preserve">preakness shopping center.xlsx</t>
  </si>
  <si>
    <t xml:space="preserve">Other properties</t>
  </si>
  <si>
    <t xml:space="preserve">other properties.xlsx</t>
  </si>
  <si>
    <t xml:space="preserve">Total</t>
  </si>
  <si>
    <t xml:space="preserve">Estate: book common equity, then LOW and HIGH</t>
  </si>
  <si>
    <t xml:space="preserve">BOOK is July 31 common equity, unchanged. LOW adds FREIT's share of (LOW value − carrying value) for every property whose estimate flag is 1. HIGH does the same with the HIGH value. Preakness and the other properties contribute nothing to the adjustment until a price is entered on those sheets. This is the minority-interest version of the ARI property block. ARI has no outside partners and no equity-method building, so ARI rebuilds cash, gross property, and debt from zero. Doing that here would count 100% of joint-venture cash and escrows against a 40% share of the building.</t>
  </si>
  <si>
    <t xml:space="preserve">BOOK</t>
  </si>
  <si>
    <t xml:space="preserve">LOW</t>
  </si>
  <si>
    <t xml:space="preserve">HIGH</t>
  </si>
  <si>
    <t xml:space="preserve">DECISION BOOK after $3.20</t>
  </si>
  <si>
    <t xml:space="preserve">DECISION LOW after $3.20</t>
  </si>
  <si>
    <t xml:space="preserve">DECISION HIGH after $3.20</t>
  </si>
  <si>
    <t xml:space="preserve">Common equity, July 31, 2026</t>
  </si>
  <si>
    <t xml:space="preserve">Property adjustments</t>
  </si>
  <si>
    <t xml:space="preserve">Estate value</t>
  </si>
  <si>
    <t xml:space="preserve">Per share</t>
  </si>
  <si>
    <t xml:space="preserve">Upside versus market price</t>
  </si>
  <si>
    <t xml:space="preserve">Proxy estimate, shown beside the model. Not added into the bridge.</t>
  </si>
  <si>
    <t xml:space="preserve">DEFM14A filed August 4, 2026. Management's single-point table, prepared from April 2026 projections: gross value of properties and other assets $341,038,000, mortgage debt $(120,249,000), estimated net liquidation expenses $(20,060,000), net asset value $200,729,000, $26.83 per share. The footnote says the gross value uses adjusted trailing-twelve-month NOI at a blended 5.63% cap rate where there is no contract, and the contract price where there is one. The stated range of total distributions is $24.44 to $30.03 per share. JLL's direct-capitalization range was $24.61 to $31.18 per share (gross assets about $287 million to $338 million). JLL's comparable-transaction range was $26.30 to $32.23 (gross about $300 million to $346 million). JLL did not publish property-level NOI or cap rates. The $120.2 million debt figure is not the July 31, 2026 mortgage balance of $114.8 million.</t>
  </si>
  <si>
    <t xml:space="preserve">Filing figure</t>
  </si>
  <si>
    <t xml:space="preserve">Low</t>
  </si>
  <si>
    <t xml:space="preserve">Point</t>
  </si>
  <si>
    <t xml:space="preserve">High</t>
  </si>
  <si>
    <t xml:space="preserve">Management total distributions, $ per share</t>
  </si>
  <si>
    <t xml:space="preserve">Same range, dollars (per share × shares)</t>
  </si>
  <si>
    <t xml:space="preserve">Model estate, $ per share, before the $3.20 (from the bridge)</t>
  </si>
  <si>
    <t xml:space="preserve">BOOK in column B, LOW in column C, HIGH in column D. Compared with the proxy low / point / high.</t>
  </si>
  <si>
    <t xml:space="preserve">JLL direct capitalization, $ per share</t>
  </si>
  <si>
    <t xml:space="preserve">JLL comparable sales, $ per share</t>
  </si>
  <si>
    <t xml:space="preserve">Sensitivities that are not in the BOOK / LOW / HIGH bridge</t>
  </si>
  <si>
    <t xml:space="preserve">Proxy net liquidation expenses</t>
  </si>
  <si>
    <t xml:space="preserve">One number from the proxy point table, not a range. ARI does not deduct a separate liquidation-cost line. Not deducted in the bridge above.</t>
  </si>
  <si>
    <t xml:space="preserve">LOW per share after that cost, before the $3.20</t>
  </si>
  <si>
    <t xml:space="preserve">HIGH per share after that cost, before the $3.20</t>
  </si>
  <si>
    <t xml:space="preserve">Hekemian sale fee rate</t>
  </si>
  <si>
    <t xml:space="preserve">1.65% of the sales price, on FREIT's percentage. Third and Fourth Amendments to the management agreement. A termination fee of 2.5× one year of base management fee is additional and is not computed, because the fee is not disclosed by property.</t>
  </si>
  <si>
    <t xml:space="preserve">Sale fee on LOW gross values (FREIT share of estimated properties only)</t>
  </si>
  <si>
    <t xml:space="preserve">Preakness is included in this fee. The other properties are still blank and are not in this fee. Do not also deduct the $20,060,000 if the fee is already inside it.</t>
  </si>
  <si>
    <t xml:space="preserve">Sale fee on HIGH gross values</t>
  </si>
  <si>
    <t xml:space="preserve">Consolidated mortgage check</t>
  </si>
  <si>
    <t xml:space="preserve">Column B is the sum of property-file mortgages excluding Pierre. Column C should be zero against the $114,840,000 gross balance-sheet mortgages.</t>
  </si>
  <si>
    <t xml:space="preserve">Residential in-place rent, six consolidated properties, 100%</t>
  </si>
  <si>
    <t xml:space="preserve">Compare with residential segment revenue of $21,776,000 for the year ended October 31, 2025, and with nine-month revenue of $16,797,000 × 12/9. Pierre is not in the segment.</t>
  </si>
  <si>
    <t xml:space="preserve">What happened, in the filings</t>
  </si>
  <si>
    <t xml:space="preserve">May 12, 2026: the board adopted a plan of voluntary liquidation, subject to a stockholder vote. Sell the assets or move them into a liquidating trust, then dissolve.</t>
  </si>
  <si>
    <t xml:space="preserve">May 26, 2026: contract to sell Westwood Plaza for $28,800,000 to an affiliate of Regency Centers.</t>
  </si>
  <si>
    <t xml:space="preserve">June 17–22, 2026: Preakness mortgage modified. Balance about $19,977,000 at July 31 after a $5 million paydown funded by preferred capital.</t>
  </si>
  <si>
    <t xml:space="preserve">July 8, 2026: Franklin Crossing shopping center, Franklin Lakes, sold for $27,000,000. Book value about $5.6 million. Net proceeds about $25.4 million. Gain about $19.8 million. Hekemian brokerage fee about $446,000. Already in the July 31 balance sheet.</t>
  </si>
  <si>
    <t xml:space="preserve">July 31, 2026: balance-sheet date and record date for the liquidation vote. 7,482,432 shares.</t>
  </si>
  <si>
    <t xml:space="preserve">August 4, 2026: DEFM14A. Management range $24.44 to $30.03 per share.</t>
  </si>
  <si>
    <t xml:space="preserve">August 31, 2026: Westwood Hills mortgage refinanced at $25,000,000.</t>
  </si>
  <si>
    <t xml:space="preserve">September 14, 2026: the $0.10 quarterly dividend was paid. It was already in dividends payable and in equity at July 31.</t>
  </si>
  <si>
    <t xml:space="preserve">September 23, 2026: Westwood Plaza's initial 120-day diligence period ended. No filing after that date reports that the sale closed or died.</t>
  </si>
  <si>
    <t xml:space="preserve">September 29, 2026: stockholders approved the plan. 5,085,293 for, 6,503 against, 22,260 abstentions.</t>
  </si>
  <si>
    <t xml:space="preserve">September 30, 2026: initial liquidating distribution of $3.20 per share declared, record October 14, payable October 29.</t>
  </si>
  <si>
    <t xml:space="preserve">Latest filing in the EDGAR list pulled for this workbook is that September 30, 2026 Form 8-K. There is no post-closing 8-K on Westwood Plaza and no liquidation-basis balance sheet yet. The 10-Q says that once the plan is effective, reporting switches to the liquidation basis of accounting.</t>
  </si>
  <si>
    <t xml:space="preserve">Sources</t>
  </si>
  <si>
    <t xml:space="preserve">Form 10-Q for the quarter ended July 31, 2026, filed September 11, 2026. https://www.sec.gov/Archives/edgar/data/36840/000117494726000858/frevs-20260731.htm</t>
  </si>
  <si>
    <t xml:space="preserve">Form 10-K for the year ended October 31, 2025, filed January 29, 2026. https://www.sec.gov/Archives/edgar/data/36840/000117494726000102/frevsob-20251031.htm</t>
  </si>
  <si>
    <t xml:space="preserve">DEFM14A filed August 4, 2026. https://www.sec.gov/Archives/edgar/data/36840/000207709626000233/ea0299235-defm14a_firstreal.htm</t>
  </si>
  <si>
    <t xml:space="preserve">Form 8-K filed September 30, 2026, meeting results and the $3.20 distribution. https://www.sec.gov/Archives/edgar/data/36840/000117494726000906/form8k-36384_frevs.htm</t>
  </si>
  <si>
    <t xml:space="preserve">Cap-rate pair: /home/florian/repo/awb99/investor/ARI/the brooks.xlsx, the HIGH row at 5.0%. LOW was widened from that file's 5.5% row to 6.0%. AIV multifamily rate: /home/florian/repo/awb99/investor/AIV/upton place - Valuation.xlsx, the sentence 'Use 5.6% for multifamily.' Hotel rates of 9.5% and 10.5% were not used.</t>
  </si>
  <si>
    <t xml:space="preserve">No source PDFs are stored in this folder. The ARI folder does not keep the SEC filings either.</t>
  </si>
  <si>
    <t xml:space="preserve">Questions</t>
  </si>
  <si>
    <t xml:space="preserve">Each item changes LOW or HIGH, or is a choice between two readings. Yellow cells on the workbooks are the assumptions.</t>
  </si>
  <si>
    <t xml:space="preserve">#</t>
  </si>
  <si>
    <t xml:space="preserve">Question</t>
  </si>
  <si>
    <t xml:space="preserve">Where it sits</t>
  </si>
  <si>
    <t xml:space="preserve">Residential NOI. ANSWERED: keep the segment expense ratio (7,082 / 16,797) on October 31, 2025 in-place rent. Pierre stays on fiscal 2025 NOI of 3,528,000.</t>
  </si>
  <si>
    <t xml:space="preserve">Yellow expense-ratio cell on each apartment sheet</t>
  </si>
  <si>
    <t xml:space="preserve">Cap-rate pair. ANSWERED: LOW is NOI / 6.0% and HIGH is NOI / 5.0%. Brooks was 5.5% / 5.0%; LOW was widened. The sheets also show 5.6% (AIV multifamily) and 5.63% (the proxy blend) and do not use them. Which pair should be LOW and HIGH?</t>
  </si>
  <si>
    <t xml:space="preserve">Yellow cap-rate cells on each apartment sheet and on pierre towers.xlsx</t>
  </si>
  <si>
    <t xml:space="preserve">Pierre NOI year. Pierre LOW and HIGH use fiscal 2025 NOI of $3,528,000 (revenue $8,669,000 minus operating expenses $5,141,000). The nine months ended July 31, 2026 annualize to about $3,665,000. Which NOI?</t>
  </si>
  <si>
    <t xml:space="preserve">pierre towers.xlsx, NOI used versus the nine-month reference row</t>
  </si>
  <si>
    <t xml:space="preserve">Preakness price. ANSWERED: LOW 10,000,000 and HIGH 25,000,000 for 100% of the center. Occupancy was 44.7%. The case takes 40% of (price minus the $20,305,000 carrying value).</t>
  </si>
  <si>
    <t xml:space="preserve">preakness shopping center.xlsx, the two yellow price cells</t>
  </si>
  <si>
    <t xml:space="preserve">Other properties. Glen Rock, the Rockaway bank pad, and three vacant parcels (carrying value $558,000 together) are blank and held at book. Should any of them be marked to a price? The bank rent is not disclosed.</t>
  </si>
  <si>
    <t xml:space="preserve">Westwood Plaza contract. ANSWERED: keep 28,800,000 for both LOW and HIGH. Diligence ended September 23, 2026, and no later filing says the deposit went hard or the contract died.</t>
  </si>
  <si>
    <t xml:space="preserve">Liquidation expenses. ANSWERED: leave the 20,060,000 out of the bridge and keep it as a sensitivity, the same way the ARI case has no separate cost line.</t>
  </si>
  <si>
    <t xml:space="preserve">investment-case.xlsx sensitivity, not in the bridge</t>
  </si>
  <si>
    <t xml:space="preserve">Hekemian fees. The sale fee is 1.65% of price on FREIT's share, plus a termination fee of 2.5 times one year of that property's base management fee. The base fee is not disclosed by property. Are these fees inside the $20,060,000, or should they be deducted on top?</t>
  </si>
  <si>
    <t xml:space="preserve">investment-case.xlsx sensitivity</t>
  </si>
  <si>
    <t xml:space="preserve">CEO bonus. A $1,000,000 bonus is payable if every property is sold within 18 months of approval and FREIT's share of gross proceeds exceeds $319.9 million. The test cannot be finished while Preakness has no price. Include the $1 million or not?</t>
  </si>
  <si>
    <t xml:space="preserve">Not booked. Proxy and 10-Q Note 6</t>
  </si>
  <si>
    <t xml:space="preserve">Debt date. Mortgages are the July 31, 2026 balances so they tie to the 10-Q. Westwood Hills was refinanced on August 31, 2026 from about $24,541,000 to $25,000,000. Use the new principal? Equity is unchanged if the extra cash stays in the company.</t>
  </si>
  <si>
    <t xml:space="preserve">Mortgage line on westwood hills.xlsx</t>
  </si>
  <si>
    <t xml:space="preserve">Share count. The model uses 7,482,432 shares outstanding at July 31, 2026, not the 5,085,293 votes in favor. Has the count changed since July 31? The March 12, 2026 director awards are already in the July 31 count.</t>
  </si>
  <si>
    <t xml:space="preserve">investment-case.xlsx cell B5</t>
  </si>
  <si>
    <t xml:space="preserve">Market price. Cell B6 is blank, so the upside line is blank. What price should the upside be measured against, and is that price before or after the $3.20?</t>
  </si>
  <si>
    <t xml:space="preserve">investment-case.xlsx cell B6</t>
  </si>
  <si>
    <t xml:space="preserve">The $3.20. ANSWERED: the decision column is after the $3.20, for a buyer today. The before column remains because it is the total of distributions and lines up with the proxy.</t>
  </si>
  <si>
    <t xml:space="preserve">Estate per-share row, before and after columns</t>
  </si>
  <si>
    <t xml:space="preserve">Distribution funding. The pro forma takes the $3.20 out of Treasury securities ($41,863,000), not out of operating cash. Is that the account that will fund the October 29 payment?</t>
  </si>
  <si>
    <t xml:space="preserve">Pro forma column on the balance sheet</t>
  </si>
  <si>
    <t xml:space="preserve">Book dates. Common equity is July 31, 2026. Apartment and retail carrying values, other than Pierre and the contract, are October 31, 2025 Schedule III nets. Nine months of depreciation and additions are not allocated by property. Real estate net fell from $89,419,000 to $82,173,000, of which about $5.6 million is Franklin Crossing. Should the older books be haircut by the remaining decline before the value adjustment?</t>
  </si>
  <si>
    <t xml:space="preserve">Property BOOK column versus common equity</t>
  </si>
  <si>
    <t xml:space="preserve">Ownership. Westwood Hills 40%, Preakness 40%, Pierre 65%, everything else 100%. The bridge multiplies (value − carrying value) by that percentage. Confirm those percentages are the economic shares, including the Preakness preferred (FREIT is 40% of preferred and 40% of common).</t>
  </si>
  <si>
    <t xml:space="preserve">Ownership cell on each property sheet</t>
  </si>
  <si>
    <t xml:space="preserve">Rent-control and occupancy. In-place rent uses the year-ended October 31, 2025 occupancy, not a stabilized occupancy. Berdan Court and Steuben Arms are the rent-regulated assets; the 10-K says the other four consolidated apartments are not. Should regulated and unregulated assets use different cap rates?</t>
  </si>
  <si>
    <t xml:space="preserve">Occupancy and rent cells on the apartment sheets</t>
  </si>
  <si>
    <t xml:space="preserve">Retail rent per square foot. The 10-K average rent per square foot is not labeled as occupied-area or total-area. It is shown on Westwood Plaza and Preakness and is not used to build NOI. Which reading is right if you want a rent roll?</t>
  </si>
  <si>
    <t xml:space="preserve">Westwood Plaza and Preakness rent lines</t>
  </si>
  <si>
    <t xml:space="preserve">Liquidating trust versus sale. The plan allows a sale or a liquidating trust. The model values the real estate either way and does not change the value for trust form, timing, or loss of transferability. Should a discount be applied if a trust is used?</t>
  </si>
  <si>
    <t xml:space="preserve">Not a cell. Plan of liquidation in the DEFM14A</t>
  </si>
  <si>
    <t xml:space="preserve">Tax. No tax reserve is deducted. The company intends to distribute the Franklin Crossing capital gain and to keep REIT status. Withholding tax and the stockholder's own basis are not modeled. Is there a company-level tax to reserve?</t>
  </si>
  <si>
    <t xml:space="preserve">Not a cell</t>
  </si>
  <si>
    <t xml:space="preserve">Boulders line of credit. The undrawn $20 million line is secured by Boulders. Nothing is deducted. Does the lien change the sale or require a payoff cost?</t>
  </si>
  <si>
    <t xml:space="preserve">boulders.xlsx mortgage note</t>
  </si>
  <si>
    <t xml:space="preserve">Which properties are separate files. Separate files: Pierre, Westwood Hills, Berdan Court, Boulders, Regency, Station Place, Steuben Arms, Westwood Plaza, Preakness. Grouped: Glen Rock, the bank pad, and three vacant parcels. Should Steuben or Station Place be grouped, or should Glen Rock be pulled out?</t>
  </si>
  <si>
    <t xml:space="preserve">File list in this folder</t>
  </si>
  <si>
    <t xml:space="preserve">Filled from filings, so these are not open questions</t>
  </si>
  <si>
    <t xml:space="preserve">Share count 7,482,432. Vote totals were not used as shares.</t>
  </si>
  <si>
    <t xml:space="preserve">July 31, 2026 balance sheet, every line, in dollars and per share.</t>
  </si>
  <si>
    <t xml:space="preserve">Pierre fiscal 2025 revenue, operating expenses, real estate net, mortgage, and the $17,025,000 carrying value.</t>
  </si>
  <si>
    <t xml:space="preserve">Westwood Plaza contract price $28,800,000 and the July 31 mortgage.</t>
  </si>
  <si>
    <t xml:space="preserve">Franklin Crossing sale $27,000,000, already closed, not valued as a remaining asset.</t>
  </si>
  <si>
    <t xml:space="preserve">Schedule III carrying values and Item 2 units, occupancy, and average rents.</t>
  </si>
  <si>
    <t xml:space="preserve">Mortgage list in 10-Q Note 7, including the August 31 Westwood Hills refinance as a note.</t>
  </si>
  <si>
    <t xml:space="preserve">Ownership: 100%, except Westwood Hills 40%, Preakness 40%, Pierre 65%.</t>
  </si>
  <si>
    <t xml:space="preserve">Proxy range $24.44 to $30.03, the $26.83 point, the $20,060,000 expense figure, and both JLL ranges, shown beside the model and not forced to equal it.</t>
  </si>
  <si>
    <t xml:space="preserve">The $3.20 distribution: amount, record date, payable date.</t>
  </si>
  <si>
    <t xml:space="preserve">Approval of the plan on September 29, 2026.</t>
  </si>
</sst>
</file>

<file path=xl/styles.xml><?xml version="1.0" encoding="utf-8"?>
<styleSheet xmlns="http://schemas.openxmlformats.org/spreadsheetml/2006/main">
  <numFmts count="6">
    <numFmt numFmtId="164" formatCode="General"/>
    <numFmt numFmtId="165" formatCode="#,##0"/>
    <numFmt numFmtId="166" formatCode="0.00"/>
    <numFmt numFmtId="167" formatCode="0%"/>
    <numFmt numFmtId="168" formatCode="0.0%"/>
    <numFmt numFmtId="169"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79"/>
      <name val="Calibri"/>
      <family val="0"/>
      <charset val="1"/>
    </font>
    <font>
      <sz val="11"/>
      <name val="Calibri"/>
      <family val="0"/>
      <charset val="1"/>
    </font>
    <font>
      <sz val="10"/>
      <name val="Calibri"/>
      <family val="0"/>
      <charset val="1"/>
    </font>
    <font>
      <b val="true"/>
      <sz val="11"/>
      <name val="Calibri"/>
      <family val="0"/>
      <charset val="1"/>
    </font>
    <font>
      <b val="true"/>
      <sz val="13"/>
      <color rgb="FF1F4E79"/>
      <name val="Calibri"/>
      <family val="0"/>
      <charset val="1"/>
    </font>
    <font>
      <b val="true"/>
      <sz val="10"/>
      <color rgb="FFFFFFFF"/>
      <name val="Calibri"/>
      <family val="0"/>
      <charset val="1"/>
    </font>
    <font>
      <i val="true"/>
      <sz val="10"/>
      <color rgb="FF333333"/>
      <name val="Calibri"/>
      <family val="0"/>
      <charset val="1"/>
    </font>
    <font>
      <sz val="11"/>
      <name val="&lt;openpyxl.styles.fills.PatternFill object&gt;&#10;Parameters:&#10;patternType='solid', fgColor=&lt;openpyxl.styles.colors.Color object&gt;&#10;Parameters:&#10;rgb='00FFF2CC', indexed=None, auto=None, theme=None, tint=0.0, type='rgb', bgColor=&lt;openpyxl.styles.colors.Color object&gt;&#10;Parameters:&#10;rgb='00000000', indexed=None, auto=None, theme=None, tint=0.0, type='rgb'"/>
      <family val="0"/>
      <charset val="1"/>
    </font>
    <font>
      <sz val="10"/>
      <name val="Arial"/>
      <family val="2"/>
    </font>
  </fonts>
  <fills count="5">
    <fill>
      <patternFill patternType="none"/>
    </fill>
    <fill>
      <patternFill patternType="gray125"/>
    </fill>
    <fill>
      <patternFill patternType="solid">
        <fgColor rgb="FFD6DCE4"/>
        <bgColor rgb="FFDDEBF7"/>
      </patternFill>
    </fill>
    <fill>
      <patternFill patternType="solid">
        <fgColor rgb="FF1F4E79"/>
        <bgColor rgb="FF003366"/>
      </patternFill>
    </fill>
    <fill>
      <patternFill patternType="solid">
        <fgColor rgb="FFDDEBF7"/>
        <bgColor rgb="FFD6DCE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5" fontId="7" fillId="0" borderId="0" xfId="0" applyFont="true" applyBorder="false" applyAlignment="true" applyProtection="true">
      <alignment horizontal="general" vertical="center" textRotation="0" wrapText="true" indent="0" shrinkToFit="false"/>
      <protection locked="true" hidden="false"/>
    </xf>
    <xf numFmtId="166" fontId="5" fillId="0"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true" applyAlignment="true" applyProtection="true">
      <alignment horizontal="general" vertical="center" textRotation="0" wrapText="true" indent="0" shrinkToFit="false"/>
      <protection locked="true" hidden="false"/>
    </xf>
    <xf numFmtId="164" fontId="9" fillId="3" borderId="0" xfId="0" applyFont="true" applyBorder="false" applyAlignment="true" applyProtection="true">
      <alignment horizontal="center" vertical="center" textRotation="0" wrapText="true" indent="0" shrinkToFit="false"/>
      <protection locked="true" hidden="false"/>
    </xf>
    <xf numFmtId="165" fontId="5"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7" fillId="4" borderId="0" xfId="0" applyFont="true" applyBorder="false" applyAlignment="true" applyProtection="true">
      <alignment horizontal="general" vertical="center" textRotation="0" wrapText="true" indent="0" shrinkToFit="false"/>
      <protection locked="true" hidden="false"/>
    </xf>
    <xf numFmtId="165" fontId="7" fillId="4" borderId="0" xfId="0" applyFont="true" applyBorder="false" applyAlignment="true" applyProtection="true">
      <alignment horizontal="general" vertical="center" textRotation="0" wrapText="true" indent="0" shrinkToFit="false"/>
      <protection locked="true" hidden="false"/>
    </xf>
    <xf numFmtId="166" fontId="7" fillId="4" borderId="0" xfId="0" applyFont="true" applyBorder="false" applyAlignment="true" applyProtection="true">
      <alignment horizontal="general" vertical="center"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center" textRotation="0" wrapText="true" indent="0" shrinkToFit="false"/>
      <protection locked="true" hidden="false"/>
    </xf>
    <xf numFmtId="166" fontId="7" fillId="0" borderId="0" xfId="0" applyFont="true" applyBorder="fals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7" fontId="5" fillId="0" borderId="0" xfId="0" applyFont="true" applyBorder="false" applyAlignment="true" applyProtection="true">
      <alignment horizontal="general" vertical="center" textRotation="0" wrapText="true" indent="0" shrinkToFit="false"/>
      <protection locked="true" hidden="false"/>
    </xf>
    <xf numFmtId="168" fontId="5" fillId="0" borderId="0" xfId="0" applyFont="true" applyBorder="false" applyAlignment="true" applyProtection="true">
      <alignment horizontal="general" vertical="center" textRotation="0" wrapText="true" indent="0" shrinkToFit="false"/>
      <protection locked="true" hidden="false"/>
    </xf>
    <xf numFmtId="165" fontId="11" fillId="0" borderId="0" xfId="0" applyFont="true" applyBorder="false" applyAlignment="true" applyProtection="true">
      <alignment horizontal="general" vertical="center" textRotation="0" wrapText="true" indent="0" shrinkToFit="false"/>
      <protection locked="true" hidden="false"/>
    </xf>
    <xf numFmtId="169" fontId="5" fillId="0" borderId="0" xfId="0" applyFont="true" applyBorder="fals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9" fillId="3"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8" fillId="2"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7" Type="http://schemas.openxmlformats.org/officeDocument/2006/relationships/externalLink" Target="externalLinks/externalLink3.xml"/><Relationship Id="rId8" Type="http://schemas.openxmlformats.org/officeDocument/2006/relationships/externalLink" Target="externalLinks/externalLink4.xml"/><Relationship Id="rId9" Type="http://schemas.openxmlformats.org/officeDocument/2006/relationships/externalLink" Target="externalLinks/externalLink5.xml"/><Relationship Id="rId10" Type="http://schemas.openxmlformats.org/officeDocument/2006/relationships/externalLink" Target="externalLinks/externalLink6.xml"/><Relationship Id="rId11" Type="http://schemas.openxmlformats.org/officeDocument/2006/relationships/externalLink" Target="externalLinks/externalLink7.xml"/><Relationship Id="rId12" Type="http://schemas.openxmlformats.org/officeDocument/2006/relationships/externalLink" Target="externalLinks/externalLink8.xml"/><Relationship Id="rId13" Type="http://schemas.openxmlformats.org/officeDocument/2006/relationships/externalLink" Target="externalLinks/externalLink9.xml"/><Relationship Id="rId14" Type="http://schemas.openxmlformats.org/officeDocument/2006/relationships/externalLink" Target="externalLinks/externalLink10.xml"/><Relationship Id="rId15"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pierre%20towers.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westwood%20hills.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berdan%20court.xlsx"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boulders.xlsx"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regency%20club.xlsx"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station%20place.xlsx"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steuben%20arms.xlsx"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westwood%20plaza.xlsx" TargetMode="External"/>
</Relationships>
</file>

<file path=xl/externalLinks/_rels/externalLink9.xml.rels><?xml version="1.0" encoding="UTF-8"?>
<Relationships xmlns="http://schemas.openxmlformats.org/package/2006/relationships"><Relationship Id="rId1" Type="http://schemas.openxmlformats.org/officeDocument/2006/relationships/externalLinkPath" Target="preakness%20shopping%20center.xlsx" TargetMode="External"/>
</Relationships>
</file>

<file path=xl/externalLinks/_rels/externalLink10.xml.rels><?xml version="1.0" encoding="UTF-8"?>
<Relationships xmlns="http://schemas.openxmlformats.org/package/2006/relationships"><Relationship Id="rId1" Type="http://schemas.openxmlformats.org/officeDocument/2006/relationships/externalLinkPath" Target="other%20propertie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0">
          <cell r="B10">
            <v>8669000</v>
          </cell>
        </row>
        <row r="101">
          <cell r="B101">
            <v>0.65</v>
          </cell>
        </row>
        <row r="102">
          <cell r="B102">
            <v>71023000</v>
          </cell>
        </row>
        <row r="103">
          <cell r="B103">
            <v>58800000</v>
          </cell>
        </row>
        <row r="104">
          <cell r="B104">
            <v>70560000</v>
          </cell>
        </row>
        <row r="105">
          <cell r="B105">
            <v>1</v>
          </cell>
        </row>
        <row r="106">
          <cell r="B106">
            <v>45258000</v>
          </cell>
        </row>
        <row r="108">
          <cell r="B108" t="str">
            <v>Filing NOI (fiscal 2025) capitalized at a 6.0% LOW cap rate and the brooks.xlsx 5.0% HIGH cap rate. Cap rates are the method; NOI is filed.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s>
    <sheetDataSet>
      <sheetData sheetId="0">
        <row r="10">
          <cell r="B10">
            <v>6299868.96</v>
          </cell>
        </row>
        <row r="101">
          <cell r="B101">
            <v>0.4</v>
          </cell>
        </row>
        <row r="102">
          <cell r="B102">
            <v>7567000</v>
          </cell>
        </row>
        <row r="103">
          <cell r="B103">
            <v>60728331.3948919475</v>
          </cell>
        </row>
        <row r="104">
          <cell r="B104">
            <v>72873997.6738703251</v>
          </cell>
        </row>
        <row r="105">
          <cell r="B105">
            <v>1</v>
          </cell>
        </row>
        <row r="106">
          <cell r="B106">
            <v>24541000</v>
          </cell>
        </row>
        <row r="108">
          <cell r="B108" t="str">
            <v>Method: in-place rent × (1 − residential segment expense ratio), divided by a 6.0% LOW cap rate and the brooks.xlsx 5.0% HIGH cap rate. The investment case then takes 40%. NOI is not filed for this property.</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s>
    <sheetDataSet>
      <sheetData sheetId="0">
        <row r="10">
          <cell r="B10">
            <v>4923766.8480000002</v>
          </cell>
        </row>
        <row r="101">
          <cell r="B101">
            <v>1</v>
          </cell>
        </row>
        <row r="102">
          <cell r="B102">
            <v>1310000</v>
          </cell>
        </row>
        <row r="103">
          <cell r="B103">
            <v>47463232.4505566508</v>
          </cell>
        </row>
        <row r="104">
          <cell r="B104">
            <v>56955878.940667972</v>
          </cell>
        </row>
        <row r="105">
          <cell r="B105">
            <v>1</v>
          </cell>
        </row>
        <row r="106">
          <cell r="B106">
            <v>27771000</v>
          </cell>
        </row>
        <row r="108">
          <cell r="B108" t="str">
            <v>Method: in-place rent × (1 − residential segment expense ratio), divided by a 6.0% LOW cap rate and the brooks.xlsx 5.0% HIGH cap rate. NOI is not filed for this property.</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s>
    <sheetDataSet>
      <sheetData sheetId="0">
        <row r="10">
          <cell r="B10">
            <v>4050951.912</v>
          </cell>
        </row>
        <row r="101">
          <cell r="B101">
            <v>1</v>
          </cell>
        </row>
        <row r="102">
          <cell r="B102">
            <v>13143000</v>
          </cell>
        </row>
        <row r="103">
          <cell r="B103">
            <v>39049629.7206644043</v>
          </cell>
        </row>
        <row r="104">
          <cell r="B104">
            <v>46859555.6647972837</v>
          </cell>
        </row>
        <row r="105">
          <cell r="B105">
            <v>1</v>
          </cell>
        </row>
        <row r="106">
          <cell r="B106">
            <v>0</v>
          </cell>
        </row>
        <row r="108">
          <cell r="B108" t="str">
            <v>Method: in-place rent × (1 − residential segment expense ratio), divided by a 6.0% LOW cap rate and the brooks.xlsx 5.0% HIGH cap rate. NOI is not filed for this property.</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s>
    <sheetDataSet>
      <sheetData sheetId="0">
        <row r="10">
          <cell r="B10">
            <v>3467178</v>
          </cell>
        </row>
        <row r="101">
          <cell r="B101">
            <v>1</v>
          </cell>
        </row>
        <row r="102">
          <cell r="B102">
            <v>16315000</v>
          </cell>
        </row>
        <row r="103">
          <cell r="B103">
            <v>33422272.102161102</v>
          </cell>
        </row>
        <row r="104">
          <cell r="B104">
            <v>40106726.5225933194</v>
          </cell>
        </row>
        <row r="105">
          <cell r="B105">
            <v>1</v>
          </cell>
        </row>
        <row r="106">
          <cell r="B106">
            <v>13621000</v>
          </cell>
        </row>
        <row r="108">
          <cell r="B108" t="str">
            <v>Method: in-place rent × (1 − residential segment expense ratio), divided by a 6.0% LOW cap rate and the brooks.xlsx 5.0% HIGH cap rate. NOI is not filed for this property.</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heet1"/>
    </sheetNames>
    <sheetDataSet>
      <sheetData sheetId="0">
        <row r="10">
          <cell r="B10">
            <v>1795089.5999999999</v>
          </cell>
        </row>
        <row r="101">
          <cell r="B101">
            <v>1</v>
          </cell>
        </row>
        <row r="102">
          <cell r="B102">
            <v>17488000</v>
          </cell>
        </row>
        <row r="103">
          <cell r="B103">
            <v>17303978.3532773703</v>
          </cell>
        </row>
        <row r="104">
          <cell r="B104">
            <v>20764774.0239328444</v>
          </cell>
        </row>
        <row r="105">
          <cell r="B105">
            <v>1</v>
          </cell>
        </row>
        <row r="106">
          <cell r="B106">
            <v>10834000</v>
          </cell>
        </row>
        <row r="108">
          <cell r="B108" t="str">
            <v>Method: in-place rent × (1 − residential segment expense ratio), divided by a 6.0% LOW cap rate and the brooks.xlsx 5.0% HIGH cap rate. NOI is not filed for this property.</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sheetNames>
    <sheetDataSet>
      <sheetData sheetId="0">
        <row r="10">
          <cell r="B10">
            <v>2404088.3999999999</v>
          </cell>
        </row>
        <row r="101">
          <cell r="B101">
            <v>1</v>
          </cell>
        </row>
        <row r="102">
          <cell r="B102">
            <v>821000</v>
          </cell>
        </row>
        <row r="103">
          <cell r="B103">
            <v>23174494.2608799227</v>
          </cell>
        </row>
        <row r="104">
          <cell r="B104">
            <v>27809393.1130559035</v>
          </cell>
        </row>
        <row r="105">
          <cell r="B105">
            <v>1</v>
          </cell>
        </row>
        <row r="106">
          <cell r="B106">
            <v>8637000</v>
          </cell>
        </row>
        <row r="108">
          <cell r="B108" t="str">
            <v>Method: in-place rent × (1 − residential segment expense ratio), divided by a 6.0% LOW cap rate and the brooks.xlsx 5.0% HIGH cap rate. NOI is not filed for this property.</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heet1"/>
    </sheetNames>
    <sheetDataSet>
      <sheetData sheetId="0">
        <row r="101">
          <cell r="B101">
            <v>1</v>
          </cell>
        </row>
        <row r="102">
          <cell r="B102">
            <v>7217000</v>
          </cell>
        </row>
        <row r="103">
          <cell r="B103">
            <v>28800000</v>
          </cell>
        </row>
        <row r="104">
          <cell r="B104">
            <v>28800000</v>
          </cell>
        </row>
        <row r="105">
          <cell r="B105">
            <v>1</v>
          </cell>
        </row>
        <row r="106">
          <cell r="B106">
            <v>9459000</v>
          </cell>
        </row>
        <row r="108">
          <cell r="B108" t="str">
            <v>Filing: May 26, 2026 contract price of $28,800,000. LOW and HIGH are the same price. Not a cap rate.</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heet1"/>
    </sheetNames>
    <sheetDataSet>
      <sheetData sheetId="0">
        <row r="101">
          <cell r="B101">
            <v>0.4</v>
          </cell>
        </row>
        <row r="102">
          <cell r="B102">
            <v>20305000</v>
          </cell>
        </row>
        <row r="103">
          <cell r="B103">
            <v>10000000</v>
          </cell>
        </row>
        <row r="104">
          <cell r="B104">
            <v>25000000</v>
          </cell>
        </row>
        <row r="105">
          <cell r="B105">
            <v>1</v>
          </cell>
        </row>
        <row r="106">
          <cell r="B106">
            <v>19977000</v>
          </cell>
        </row>
        <row r="108">
          <cell r="B108" t="str">
            <v>Entered prices for 100% of the center: LOW 10,000,000 and HIGH 25,000,000. The investment case takes 40% of (price minus carrying value).</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heet1"/>
    </sheetNames>
    <sheetDataSet>
      <sheetData sheetId="0">
        <row r="101">
          <cell r="B101">
            <v>1</v>
          </cell>
        </row>
        <row r="102">
          <cell r="B102">
            <v>558000</v>
          </cell>
        </row>
        <row r="105">
          <cell r="B105">
            <v>0</v>
          </cell>
        </row>
        <row r="106">
          <cell r="B106">
            <v>0</v>
          </cell>
        </row>
        <row r="108">
          <cell r="B108" t="str">
            <v>Not estimated. Immaterial parcels and the Glen Rock store. No NOI, rent (bank), or appraisal. Held at October 31, 2025 carrying value.</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48576"/>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0" ySplit="4" topLeftCell="A85" activePane="bottomLeft" state="frozen"/>
      <selection pane="topLeft" activeCell="A1" activeCellId="0" sqref="A1"/>
      <selection pane="bottomLeft" activeCell="A87" activeCellId="0" sqref="A87"/>
    </sheetView>
  </sheetViews>
  <sheetFormatPr defaultColWidth="8.59765625" defaultRowHeight="15" customHeight="false" zeroHeight="false" outlineLevelRow="0" outlineLevelCol="0"/>
  <cols>
    <col collapsed="false" customWidth="true" hidden="false" outlineLevel="0" max="1" min="1" style="1" width="58"/>
    <col collapsed="false" customWidth="true" hidden="false" outlineLevel="0" max="2" min="2" style="1" width="24"/>
    <col collapsed="false" customWidth="true" hidden="false" outlineLevel="0" max="3" min="3" style="1" width="16"/>
    <col collapsed="false" customWidth="true" hidden="false" outlineLevel="0" max="6" min="4" style="1" width="22"/>
    <col collapsed="false" customWidth="true" hidden="false" outlineLevel="0" max="9" min="7" style="1" width="20"/>
    <col collapsed="false" customWidth="true" hidden="false" outlineLevel="0" max="11" min="10" style="1" width="18"/>
    <col collapsed="false" customWidth="true" hidden="false" outlineLevel="0" max="12" min="12" style="1" width="62"/>
  </cols>
  <sheetData>
    <row r="1" customFormat="false" ht="24" hidden="false" customHeight="true" outlineLevel="0" collapsed="false">
      <c r="A1" s="2" t="s">
        <v>0</v>
      </c>
    </row>
    <row r="2" customFormat="false" ht="16.4" hidden="false" customHeight="false" outlineLevel="0" collapsed="false">
      <c r="A2" s="3" t="s">
        <v>1</v>
      </c>
    </row>
    <row r="3" customFormat="false" ht="14.2" hidden="false" customHeight="true" outlineLevel="0" collapsed="false">
      <c r="A3" s="3" t="s">
        <v>2</v>
      </c>
      <c r="B3" s="3" t="s">
        <v>3</v>
      </c>
      <c r="C3" s="4" t="s">
        <v>4</v>
      </c>
      <c r="D3" s="4"/>
      <c r="E3" s="4"/>
      <c r="F3" s="4"/>
      <c r="G3" s="4"/>
      <c r="H3" s="4"/>
    </row>
    <row r="5" customFormat="false" ht="48" hidden="false" customHeight="true" outlineLevel="0" collapsed="false">
      <c r="A5" s="3" t="s">
        <v>5</v>
      </c>
      <c r="B5" s="5" t="n">
        <v>7482432</v>
      </c>
      <c r="C5" s="4" t="s">
        <v>6</v>
      </c>
      <c r="D5" s="4"/>
      <c r="E5" s="4"/>
      <c r="F5" s="4"/>
      <c r="G5" s="4"/>
      <c r="H5" s="4"/>
      <c r="I5" s="4"/>
      <c r="J5" s="4"/>
      <c r="K5" s="4"/>
      <c r="L5" s="4"/>
    </row>
    <row r="6" customFormat="false" ht="29.85" hidden="false" customHeight="true" outlineLevel="0" collapsed="false">
      <c r="A6" s="3" t="s">
        <v>7</v>
      </c>
      <c r="B6" s="6" t="n">
        <v>3.2</v>
      </c>
      <c r="C6" s="4" t="s">
        <v>8</v>
      </c>
      <c r="D6" s="4"/>
      <c r="E6" s="4"/>
      <c r="F6" s="4"/>
      <c r="G6" s="4"/>
    </row>
    <row r="7" customFormat="false" ht="42.7" hidden="false" customHeight="true" outlineLevel="0" collapsed="false">
      <c r="A7" s="3" t="s">
        <v>9</v>
      </c>
      <c r="B7" s="5" t="n">
        <f aca="false">B5*B6</f>
        <v>23943782.4</v>
      </c>
      <c r="C7" s="4" t="s">
        <v>10</v>
      </c>
      <c r="D7" s="4"/>
      <c r="E7" s="4"/>
      <c r="F7" s="4"/>
      <c r="G7" s="4"/>
    </row>
    <row r="9" customFormat="false" ht="19.5" hidden="false" customHeight="true" outlineLevel="0" collapsed="false">
      <c r="A9" s="7" t="s">
        <v>11</v>
      </c>
      <c r="B9" s="7"/>
      <c r="C9" s="7"/>
      <c r="D9" s="7"/>
      <c r="E9" s="7"/>
      <c r="F9" s="7"/>
      <c r="G9" s="7"/>
      <c r="H9" s="7"/>
    </row>
    <row r="10" customFormat="false" ht="31.5" hidden="false" customHeight="true" outlineLevel="0" collapsed="false">
      <c r="A10" s="8" t="s">
        <v>12</v>
      </c>
      <c r="B10" s="8" t="s">
        <v>13</v>
      </c>
      <c r="C10" s="8" t="s">
        <v>14</v>
      </c>
      <c r="D10" s="8" t="s">
        <v>15</v>
      </c>
      <c r="E10" s="8" t="s">
        <v>16</v>
      </c>
      <c r="F10" s="8" t="s">
        <v>17</v>
      </c>
      <c r="G10" s="8" t="s">
        <v>18</v>
      </c>
      <c r="H10" s="8"/>
    </row>
    <row r="11" customFormat="false" ht="16.4" hidden="false" customHeight="false" outlineLevel="0" collapsed="false">
      <c r="A11" s="3" t="s">
        <v>19</v>
      </c>
      <c r="B11" s="9" t="n">
        <v>82173000</v>
      </c>
      <c r="C11" s="6" t="n">
        <f aca="false">B11/$B$5</f>
        <v>10.9821245284955</v>
      </c>
      <c r="D11" s="9" t="n">
        <f aca="false">B11</f>
        <v>82173000</v>
      </c>
      <c r="E11" s="6" t="n">
        <f aca="false">D11/$B$5</f>
        <v>10.9821245284955</v>
      </c>
      <c r="F11" s="3" t="s">
        <v>20</v>
      </c>
      <c r="G11" s="10" t="s">
        <v>21</v>
      </c>
    </row>
    <row r="12" customFormat="false" ht="16.4" hidden="false" customHeight="false" outlineLevel="0" collapsed="false">
      <c r="A12" s="3" t="s">
        <v>22</v>
      </c>
      <c r="B12" s="9" t="n">
        <v>982000</v>
      </c>
      <c r="C12" s="6" t="n">
        <f aca="false">B12/$B$5</f>
        <v>0.131240751670045</v>
      </c>
      <c r="D12" s="9" t="n">
        <f aca="false">B12</f>
        <v>982000</v>
      </c>
      <c r="E12" s="6" t="n">
        <f aca="false">D12/$B$5</f>
        <v>0.131240751670045</v>
      </c>
      <c r="F12" s="3" t="s">
        <v>20</v>
      </c>
      <c r="G12" s="10" t="s">
        <v>21</v>
      </c>
    </row>
    <row r="13" customFormat="false" ht="16.4" hidden="false" customHeight="false" outlineLevel="0" collapsed="false">
      <c r="A13" s="3" t="s">
        <v>23</v>
      </c>
      <c r="B13" s="9" t="n">
        <v>16024000</v>
      </c>
      <c r="C13" s="6" t="n">
        <f aca="false">B13/$B$5</f>
        <v>2.14154969934909</v>
      </c>
      <c r="D13" s="9" t="n">
        <f aca="false">B13</f>
        <v>16024000</v>
      </c>
      <c r="E13" s="6" t="n">
        <f aca="false">D13/$B$5</f>
        <v>2.14154969934909</v>
      </c>
      <c r="F13" s="3" t="s">
        <v>20</v>
      </c>
      <c r="G13" s="10" t="s">
        <v>21</v>
      </c>
    </row>
    <row r="14" customFormat="false" ht="55.2" hidden="false" customHeight="false" outlineLevel="0" collapsed="false">
      <c r="A14" s="3" t="s">
        <v>24</v>
      </c>
      <c r="B14" s="9" t="n">
        <v>41863000</v>
      </c>
      <c r="C14" s="6" t="n">
        <f aca="false">B14/$B$5</f>
        <v>5.59483868346548</v>
      </c>
      <c r="D14" s="9" t="n">
        <f aca="false">B14-$B$7</f>
        <v>17919217.6</v>
      </c>
      <c r="E14" s="6" t="n">
        <f aca="false">D14/$B$5</f>
        <v>2.39483868346548</v>
      </c>
      <c r="F14" s="3" t="s">
        <v>25</v>
      </c>
      <c r="G14" s="10" t="s">
        <v>26</v>
      </c>
    </row>
    <row r="15" customFormat="false" ht="41.75" hidden="false" customHeight="false" outlineLevel="0" collapsed="false">
      <c r="A15" s="3" t="s">
        <v>27</v>
      </c>
      <c r="B15" s="9" t="n">
        <v>17025000</v>
      </c>
      <c r="C15" s="6" t="n">
        <f aca="false">B15/$B$5</f>
        <v>2.27532973236509</v>
      </c>
      <c r="D15" s="9" t="n">
        <f aca="false">B15</f>
        <v>17025000</v>
      </c>
      <c r="E15" s="6" t="n">
        <f aca="false">D15/$B$5</f>
        <v>2.27532973236509</v>
      </c>
      <c r="F15" s="3" t="s">
        <v>20</v>
      </c>
      <c r="G15" s="10" t="s">
        <v>28</v>
      </c>
    </row>
    <row r="16" customFormat="false" ht="16.4" hidden="false" customHeight="false" outlineLevel="0" collapsed="false">
      <c r="A16" s="3" t="s">
        <v>29</v>
      </c>
      <c r="B16" s="9" t="n">
        <v>806000</v>
      </c>
      <c r="C16" s="6" t="n">
        <f aca="false">B16/$B$5</f>
        <v>0.107718987623275</v>
      </c>
      <c r="D16" s="9" t="n">
        <f aca="false">B16</f>
        <v>806000</v>
      </c>
      <c r="E16" s="6" t="n">
        <f aca="false">D16/$B$5</f>
        <v>0.107718987623275</v>
      </c>
      <c r="F16" s="3" t="s">
        <v>20</v>
      </c>
      <c r="G16" s="10" t="s">
        <v>21</v>
      </c>
    </row>
    <row r="17" customFormat="false" ht="16.4" hidden="false" customHeight="false" outlineLevel="0" collapsed="false">
      <c r="A17" s="3" t="s">
        <v>30</v>
      </c>
      <c r="B17" s="9" t="n">
        <v>287000</v>
      </c>
      <c r="C17" s="6" t="n">
        <f aca="false">B17/$B$5</f>
        <v>0.0383565129626303</v>
      </c>
      <c r="D17" s="9" t="n">
        <f aca="false">B17</f>
        <v>287000</v>
      </c>
      <c r="E17" s="6" t="n">
        <f aca="false">D17/$B$5</f>
        <v>0.0383565129626303</v>
      </c>
      <c r="F17" s="3" t="s">
        <v>20</v>
      </c>
      <c r="G17" s="10" t="s">
        <v>21</v>
      </c>
    </row>
    <row r="18" customFormat="false" ht="16.4" hidden="false" customHeight="false" outlineLevel="0" collapsed="false">
      <c r="A18" s="3" t="s">
        <v>31</v>
      </c>
      <c r="B18" s="9" t="n">
        <v>391000</v>
      </c>
      <c r="C18" s="6" t="n">
        <f aca="false">B18/$B$5</f>
        <v>0.0522557371720852</v>
      </c>
      <c r="D18" s="9" t="n">
        <f aca="false">B18</f>
        <v>391000</v>
      </c>
      <c r="E18" s="6" t="n">
        <f aca="false">D18/$B$5</f>
        <v>0.0522557371720852</v>
      </c>
      <c r="F18" s="3" t="s">
        <v>20</v>
      </c>
      <c r="G18" s="10" t="s">
        <v>32</v>
      </c>
    </row>
    <row r="19" customFormat="false" ht="41.75" hidden="false" customHeight="false" outlineLevel="0" collapsed="false">
      <c r="A19" s="3" t="s">
        <v>33</v>
      </c>
      <c r="B19" s="9" t="n">
        <v>5538000</v>
      </c>
      <c r="C19" s="6" t="n">
        <f aca="false">B19/$B$5</f>
        <v>0.740133689153473</v>
      </c>
      <c r="D19" s="9" t="n">
        <f aca="false">B19</f>
        <v>5538000</v>
      </c>
      <c r="E19" s="6" t="n">
        <f aca="false">D19/$B$5</f>
        <v>0.740133689153473</v>
      </c>
      <c r="F19" s="3" t="s">
        <v>20</v>
      </c>
      <c r="G19" s="10" t="s">
        <v>34</v>
      </c>
    </row>
    <row r="20" customFormat="false" ht="16.4" hidden="false" customHeight="false" outlineLevel="0" collapsed="false">
      <c r="A20" s="3" t="s">
        <v>35</v>
      </c>
      <c r="B20" s="9" t="n">
        <v>172000</v>
      </c>
      <c r="C20" s="6" t="n">
        <f aca="false">B20/$B$5</f>
        <v>0.0229871785002523</v>
      </c>
      <c r="D20" s="9" t="n">
        <f aca="false">B20</f>
        <v>172000</v>
      </c>
      <c r="E20" s="6" t="n">
        <f aca="false">D20/$B$5</f>
        <v>0.0229871785002523</v>
      </c>
      <c r="F20" s="3" t="s">
        <v>20</v>
      </c>
      <c r="G20" s="10" t="s">
        <v>21</v>
      </c>
    </row>
    <row r="21" customFormat="false" ht="28.35" hidden="false" customHeight="false" outlineLevel="0" collapsed="false">
      <c r="A21" s="3" t="s">
        <v>36</v>
      </c>
      <c r="B21" s="9" t="n">
        <v>235000</v>
      </c>
      <c r="C21" s="6" t="n">
        <f aca="false">B21/$B$5</f>
        <v>0.0314069008579029</v>
      </c>
      <c r="D21" s="9" t="n">
        <f aca="false">B21</f>
        <v>235000</v>
      </c>
      <c r="E21" s="6" t="n">
        <f aca="false">D21/$B$5</f>
        <v>0.0314069008579029</v>
      </c>
      <c r="F21" s="3" t="s">
        <v>20</v>
      </c>
      <c r="G21" s="10" t="s">
        <v>37</v>
      </c>
    </row>
    <row r="22" customFormat="false" ht="16.4" hidden="false" customHeight="false" outlineLevel="0" collapsed="false">
      <c r="A22" s="11" t="s">
        <v>38</v>
      </c>
      <c r="B22" s="12" t="n">
        <f aca="false">SUM(B11:B21)</f>
        <v>165496000</v>
      </c>
      <c r="C22" s="13" t="n">
        <f aca="false">B22/$B$5</f>
        <v>22.1179424016149</v>
      </c>
      <c r="D22" s="12" t="n">
        <f aca="false">SUM(D11:D21)</f>
        <v>141552217.6</v>
      </c>
      <c r="E22" s="13" t="n">
        <f aca="false">D22/$B$5</f>
        <v>18.9179424016149</v>
      </c>
      <c r="F22" s="14"/>
      <c r="G22" s="15" t="s">
        <v>39</v>
      </c>
    </row>
    <row r="24" customFormat="false" ht="68.65" hidden="false" customHeight="false" outlineLevel="0" collapsed="false">
      <c r="A24" s="3" t="s">
        <v>40</v>
      </c>
      <c r="B24" s="9" t="n">
        <v>114840000</v>
      </c>
      <c r="C24" s="6" t="n">
        <f aca="false">B24/$B$5</f>
        <v>15.3479510405173</v>
      </c>
      <c r="D24" s="9" t="n">
        <f aca="false">B24</f>
        <v>114840000</v>
      </c>
      <c r="E24" s="6" t="n">
        <f aca="false">D24/$B$5</f>
        <v>15.3479510405173</v>
      </c>
      <c r="F24" s="3" t="s">
        <v>20</v>
      </c>
      <c r="G24" s="10" t="s">
        <v>41</v>
      </c>
    </row>
    <row r="25" customFormat="false" ht="41.75" hidden="false" customHeight="false" outlineLevel="0" collapsed="false">
      <c r="A25" s="3" t="s">
        <v>42</v>
      </c>
      <c r="B25" s="9" t="n">
        <v>-596000</v>
      </c>
      <c r="C25" s="6" t="n">
        <f aca="false">B25/$B$5</f>
        <v>-0.0796532464311069</v>
      </c>
      <c r="D25" s="9" t="n">
        <f aca="false">B25</f>
        <v>-596000</v>
      </c>
      <c r="E25" s="6" t="n">
        <f aca="false">D25/$B$5</f>
        <v>-0.0796532464311069</v>
      </c>
      <c r="F25" s="3" t="s">
        <v>20</v>
      </c>
      <c r="G25" s="10" t="s">
        <v>43</v>
      </c>
    </row>
    <row r="26" customFormat="false" ht="16.4" hidden="false" customHeight="false" outlineLevel="0" collapsed="false">
      <c r="A26" s="3" t="s">
        <v>44</v>
      </c>
      <c r="B26" s="5" t="n">
        <f aca="false">B24+B25</f>
        <v>114244000</v>
      </c>
      <c r="C26" s="6" t="n">
        <f aca="false">B26/$B$5</f>
        <v>15.2682977940862</v>
      </c>
      <c r="D26" s="5" t="n">
        <f aca="false">D24+D25</f>
        <v>114244000</v>
      </c>
      <c r="E26" s="6" t="n">
        <f aca="false">D26/$B$5</f>
        <v>15.2682977940862</v>
      </c>
      <c r="G26" s="10" t="s">
        <v>45</v>
      </c>
    </row>
    <row r="27" customFormat="false" ht="68.65" hidden="false" customHeight="false" outlineLevel="0" collapsed="false">
      <c r="A27" s="3" t="s">
        <v>46</v>
      </c>
      <c r="B27" s="9" t="n">
        <v>693000</v>
      </c>
      <c r="C27" s="6" t="n">
        <f aca="false">B27/$B$5</f>
        <v>0.0926169459341562</v>
      </c>
      <c r="D27" s="9" t="n">
        <f aca="false">B27</f>
        <v>693000</v>
      </c>
      <c r="E27" s="6" t="n">
        <f aca="false">D27/$B$5</f>
        <v>0.0926169459341562</v>
      </c>
      <c r="F27" s="3" t="s">
        <v>20</v>
      </c>
      <c r="G27" s="10" t="s">
        <v>47</v>
      </c>
    </row>
    <row r="28" customFormat="false" ht="16.4" hidden="false" customHeight="false" outlineLevel="0" collapsed="false">
      <c r="A28" s="3" t="s">
        <v>48</v>
      </c>
      <c r="B28" s="9" t="n">
        <v>881000</v>
      </c>
      <c r="C28" s="6" t="n">
        <f aca="false">B28/$B$5</f>
        <v>0.117742466620478</v>
      </c>
      <c r="D28" s="9" t="n">
        <f aca="false">B28</f>
        <v>881000</v>
      </c>
      <c r="E28" s="6" t="n">
        <f aca="false">D28/$B$5</f>
        <v>0.117742466620478</v>
      </c>
      <c r="F28" s="3" t="s">
        <v>20</v>
      </c>
      <c r="G28" s="10" t="s">
        <v>21</v>
      </c>
    </row>
    <row r="29" customFormat="false" ht="82.05" hidden="false" customHeight="false" outlineLevel="0" collapsed="false">
      <c r="A29" s="3" t="s">
        <v>49</v>
      </c>
      <c r="B29" s="9" t="n">
        <v>748000</v>
      </c>
      <c r="C29" s="6" t="n">
        <f aca="false">B29/$B$5</f>
        <v>0.0999674971987717</v>
      </c>
      <c r="D29" s="9" t="n">
        <f aca="false">B29</f>
        <v>748000</v>
      </c>
      <c r="E29" s="6" t="n">
        <f aca="false">D29/$B$5</f>
        <v>0.0999674971987717</v>
      </c>
      <c r="F29" s="3" t="s">
        <v>20</v>
      </c>
      <c r="G29" s="10" t="s">
        <v>50</v>
      </c>
    </row>
    <row r="30" customFormat="false" ht="16.4" hidden="false" customHeight="false" outlineLevel="0" collapsed="false">
      <c r="A30" s="3" t="s">
        <v>51</v>
      </c>
      <c r="B30" s="9" t="n">
        <v>1007000</v>
      </c>
      <c r="C30" s="6" t="n">
        <f aca="false">B30/$B$5</f>
        <v>0.13458191133578</v>
      </c>
      <c r="D30" s="9" t="n">
        <f aca="false">B30</f>
        <v>1007000</v>
      </c>
      <c r="E30" s="6" t="n">
        <f aca="false">D30/$B$5</f>
        <v>0.13458191133578</v>
      </c>
      <c r="F30" s="3" t="s">
        <v>20</v>
      </c>
      <c r="G30" s="10" t="s">
        <v>21</v>
      </c>
    </row>
    <row r="31" customFormat="false" ht="16.4" hidden="false" customHeight="false" outlineLevel="0" collapsed="false">
      <c r="A31" s="3" t="s">
        <v>52</v>
      </c>
      <c r="B31" s="9" t="n">
        <v>686000</v>
      </c>
      <c r="C31" s="6" t="n">
        <f aca="false">B31/$B$5</f>
        <v>0.0916814212277506</v>
      </c>
      <c r="D31" s="9" t="n">
        <f aca="false">B31</f>
        <v>686000</v>
      </c>
      <c r="E31" s="6" t="n">
        <f aca="false">D31/$B$5</f>
        <v>0.0916814212277506</v>
      </c>
      <c r="F31" s="3" t="s">
        <v>20</v>
      </c>
      <c r="G31" s="10" t="s">
        <v>21</v>
      </c>
    </row>
    <row r="32" customFormat="false" ht="28.35" hidden="false" customHeight="false" outlineLevel="0" collapsed="false">
      <c r="A32" s="11" t="s">
        <v>53</v>
      </c>
      <c r="B32" s="12" t="n">
        <f aca="false">B26+SUM(B27:B31)</f>
        <v>118259000</v>
      </c>
      <c r="C32" s="13" t="n">
        <f aca="false">B32/$B$5</f>
        <v>15.8048880364031</v>
      </c>
      <c r="D32" s="12" t="n">
        <f aca="false">D26+SUM(D27:D31)</f>
        <v>118259000</v>
      </c>
      <c r="E32" s="13" t="n">
        <f aca="false">D32/$B$5</f>
        <v>15.8048880364031</v>
      </c>
      <c r="F32" s="14"/>
      <c r="G32" s="15" t="s">
        <v>54</v>
      </c>
    </row>
    <row r="34" customFormat="false" ht="36" hidden="false" customHeight="true" outlineLevel="0" collapsed="false">
      <c r="A34" s="3" t="s">
        <v>55</v>
      </c>
      <c r="B34" s="5" t="n">
        <v>53666000</v>
      </c>
      <c r="C34" s="16" t="n">
        <f aca="false">B34/$B$5</f>
        <v>7.17226698485198</v>
      </c>
      <c r="D34" s="5" t="n">
        <f aca="false">B34-$B$7</f>
        <v>29722217.6</v>
      </c>
      <c r="E34" s="16" t="n">
        <f aca="false">D34/$B$5</f>
        <v>3.97226698485198</v>
      </c>
      <c r="F34" s="3" t="s">
        <v>56</v>
      </c>
      <c r="G34" s="10" t="s">
        <v>57</v>
      </c>
    </row>
    <row r="35" customFormat="false" ht="55.2" hidden="false" customHeight="false" outlineLevel="0" collapsed="false">
      <c r="A35" s="3" t="s">
        <v>58</v>
      </c>
      <c r="B35" s="9" t="n">
        <v>-6429000</v>
      </c>
      <c r="C35" s="6" t="n">
        <f aca="false">B35/$B$5</f>
        <v>-0.859212619640245</v>
      </c>
      <c r="D35" s="9" t="n">
        <f aca="false">B35</f>
        <v>-6429000</v>
      </c>
      <c r="E35" s="6" t="n">
        <f aca="false">D35/$B$5</f>
        <v>-0.859212619640245</v>
      </c>
      <c r="F35" s="3" t="s">
        <v>20</v>
      </c>
      <c r="G35" s="10" t="s">
        <v>59</v>
      </c>
    </row>
    <row r="36" customFormat="false" ht="28.35" hidden="false" customHeight="false" outlineLevel="0" collapsed="false">
      <c r="A36" s="11" t="s">
        <v>60</v>
      </c>
      <c r="B36" s="12" t="n">
        <f aca="false">B34+B35</f>
        <v>47237000</v>
      </c>
      <c r="C36" s="13" t="n">
        <f aca="false">B36/$B$5</f>
        <v>6.31305436521174</v>
      </c>
      <c r="D36" s="12" t="n">
        <f aca="false">D34+D35</f>
        <v>23293217.6</v>
      </c>
      <c r="E36" s="13" t="n">
        <f aca="false">D36/$B$5</f>
        <v>3.11305436521174</v>
      </c>
      <c r="F36" s="14"/>
      <c r="G36" s="15" t="s">
        <v>61</v>
      </c>
    </row>
    <row r="37" customFormat="false" ht="46.25" hidden="false" customHeight="false" outlineLevel="0" collapsed="false">
      <c r="A37" s="3" t="s">
        <v>62</v>
      </c>
      <c r="B37" s="9" t="n">
        <f aca="false">B22-B32-B36</f>
        <v>0</v>
      </c>
      <c r="C37" s="3" t="s">
        <v>63</v>
      </c>
    </row>
    <row r="39" customFormat="false" ht="61.5" hidden="false" customHeight="true" outlineLevel="0" collapsed="false">
      <c r="A39" s="17" t="s">
        <v>64</v>
      </c>
      <c r="B39" s="17"/>
      <c r="C39" s="17"/>
      <c r="D39" s="17"/>
      <c r="E39" s="17"/>
      <c r="F39" s="17"/>
      <c r="G39" s="17"/>
      <c r="H39" s="17"/>
    </row>
    <row r="41" customFormat="false" ht="19.5" hidden="false" customHeight="true" outlineLevel="0" collapsed="false">
      <c r="A41" s="7" t="s">
        <v>65</v>
      </c>
      <c r="B41" s="7"/>
      <c r="C41" s="7"/>
      <c r="D41" s="7"/>
      <c r="E41" s="7"/>
      <c r="F41" s="7"/>
      <c r="G41" s="7"/>
      <c r="H41" s="7"/>
      <c r="I41" s="7"/>
      <c r="J41" s="7"/>
      <c r="K41" s="7"/>
      <c r="L41" s="7"/>
    </row>
    <row r="42" customFormat="false" ht="57.75" hidden="false" customHeight="true" outlineLevel="0" collapsed="false">
      <c r="A42" s="17" t="s">
        <v>66</v>
      </c>
      <c r="B42" s="17"/>
      <c r="C42" s="17"/>
      <c r="D42" s="17"/>
      <c r="E42" s="17"/>
      <c r="F42" s="17"/>
      <c r="G42" s="17"/>
      <c r="H42" s="17"/>
      <c r="I42" s="17"/>
      <c r="J42" s="17"/>
      <c r="K42" s="17"/>
      <c r="L42" s="17"/>
    </row>
    <row r="43" customFormat="false" ht="31.5" hidden="false" customHeight="true" outlineLevel="0" collapsed="false">
      <c r="A43" s="8" t="s">
        <v>67</v>
      </c>
      <c r="B43" s="8" t="s">
        <v>68</v>
      </c>
      <c r="C43" s="8" t="s">
        <v>69</v>
      </c>
      <c r="D43" s="8" t="s">
        <v>70</v>
      </c>
      <c r="E43" s="8" t="s">
        <v>71</v>
      </c>
      <c r="F43" s="8" t="s">
        <v>72</v>
      </c>
      <c r="G43" s="8" t="s">
        <v>73</v>
      </c>
      <c r="H43" s="8" t="s">
        <v>74</v>
      </c>
      <c r="I43" s="8" t="s">
        <v>75</v>
      </c>
      <c r="J43" s="8" t="s">
        <v>76</v>
      </c>
      <c r="K43" s="8" t="s">
        <v>77</v>
      </c>
      <c r="L43" s="8" t="s">
        <v>78</v>
      </c>
    </row>
    <row r="44" customFormat="false" ht="22.35" hidden="false" customHeight="true" outlineLevel="0" collapsed="false">
      <c r="A44" s="3" t="s">
        <v>79</v>
      </c>
      <c r="B44" s="10" t="s">
        <v>80</v>
      </c>
      <c r="C44" s="18" t="n">
        <f aca="false">[1]Sheet1!B101</f>
        <v>0.65</v>
      </c>
      <c r="D44" s="9" t="n">
        <f aca="false">[1]Sheet1!B102</f>
        <v>71023000</v>
      </c>
      <c r="E44" t="n" s="9">
        <f aca="false">IF([1]Sheet1!B105=0,"",[1]Sheet1!B103)</f>
        <v>58800000</v>
      </c>
      <c r="F44" t="n" s="9">
        <f aca="false">IF([1]Sheet1!B105=0,"",[1]Sheet1!B104)</f>
        <v>70560000</v>
      </c>
      <c r="G44" s="9" t="n">
        <f aca="false">C44*D44</f>
        <v>46164950</v>
      </c>
      <c r="H44" t="n" s="9">
        <f aca="false">IF(E44="","",C44*E44)</f>
        <v>38220000</v>
      </c>
      <c r="I44" t="n" s="9">
        <f aca="false">IF(F44="","",C44*F44)</f>
        <v>45864000</v>
      </c>
      <c r="J44" t="n" s="9">
        <f aca="false">IF(H44="","",H44-G44)</f>
        <v>-7944950</v>
      </c>
      <c r="K44" t="n" s="9">
        <f aca="false">IF(I44="","",I44-G44)</f>
        <v>-300950</v>
      </c>
      <c r="L44" t="str" s="10">
        <f aca="false">[1]Sheet1!B108</f>
        <v>Filing NOI (fiscal 2025) capitalized at a 6.0% LOW cap rate and the brooks.xlsx 5.0% HIGH cap rate. Cap rates are the method; NOI is filed.</v>
      </c>
    </row>
    <row r="45" customFormat="false" ht="22.35" hidden="false" customHeight="true" outlineLevel="0" collapsed="false">
      <c r="A45" s="3" t="s">
        <v>81</v>
      </c>
      <c r="B45" s="10" t="s">
        <v>82</v>
      </c>
      <c r="C45" s="18" t="n">
        <f aca="false">[2]Sheet1!B101</f>
        <v>0.4</v>
      </c>
      <c r="D45" s="9" t="n">
        <f aca="false">[2]Sheet1!B102</f>
        <v>7567000</v>
      </c>
      <c r="E45" t="n" s="9">
        <f aca="false">IF([2]Sheet1!B105=0,"",[2]Sheet1!B103)</f>
        <v>60728331.3948919475</v>
      </c>
      <c r="F45" t="n" s="9">
        <f aca="false">IF([2]Sheet1!B105=0,"",[2]Sheet1!B104)</f>
        <v>72873997.6738703251</v>
      </c>
      <c r="G45" s="9" t="n">
        <f aca="false">C45*D45</f>
        <v>3026800</v>
      </c>
      <c r="H45" t="n" s="9">
        <f aca="false">IF(E45="","",C45*E45)</f>
        <v>24291332.5579567812</v>
      </c>
      <c r="I45" t="n" s="9">
        <f aca="false">IF(F45="","",C45*F45)</f>
        <v>29149599.06954813</v>
      </c>
      <c r="J45" t="n" s="9">
        <f aca="false">IF(H45="","",H45-G45)</f>
        <v>21264532.5579567812</v>
      </c>
      <c r="K45" t="n" s="9">
        <f aca="false">IF(I45="","",I45-G45)</f>
        <v>26122799.06954813</v>
      </c>
      <c r="L45" t="str" s="10">
        <f aca="false">[2]Sheet1!B108</f>
        <v>Method: in-place rent × (1 − residential segment expense ratio), divided by a 6.0% LOW cap rate and the brooks.xlsx 5.0% HIGH cap rate. The investment case then takes 40%. NOI is not filed for this property.</v>
      </c>
    </row>
    <row r="46" customFormat="false" ht="22.35" hidden="false" customHeight="true" outlineLevel="0" collapsed="false">
      <c r="A46" s="3" t="s">
        <v>83</v>
      </c>
      <c r="B46" s="10" t="s">
        <v>84</v>
      </c>
      <c r="C46" s="18" t="n">
        <f aca="false">[3]Sheet1!B101</f>
        <v>1</v>
      </c>
      <c r="D46" s="9" t="n">
        <f aca="false">[3]Sheet1!B102</f>
        <v>1310000</v>
      </c>
      <c r="E46" t="n" s="9">
        <f aca="false">IF([3]Sheet1!B105=0,"",[3]Sheet1!B103)</f>
        <v>47463232.4505566508</v>
      </c>
      <c r="F46" t="n" s="9">
        <f aca="false">IF([3]Sheet1!B105=0,"",[3]Sheet1!B104)</f>
        <v>56955878.940667972</v>
      </c>
      <c r="G46" s="9" t="n">
        <f aca="false">C46*D46</f>
        <v>1310000</v>
      </c>
      <c r="H46" t="n" s="9">
        <f aca="false">IF(E46="","",C46*E46)</f>
        <v>47463232.4505566508</v>
      </c>
      <c r="I46" t="n" s="9">
        <f aca="false">IF(F46="","",C46*F46)</f>
        <v>56955878.940667972</v>
      </c>
      <c r="J46" t="n" s="9">
        <f aca="false">IF(H46="","",H46-G46)</f>
        <v>46153232.4505566508</v>
      </c>
      <c r="K46" t="n" s="9">
        <f aca="false">IF(I46="","",I46-G46)</f>
        <v>55645878.940667972</v>
      </c>
      <c r="L46" t="str" s="10">
        <f aca="false">[3]Sheet1!B108</f>
        <v>Method: in-place rent × (1 − residential segment expense ratio), divided by a 6.0% LOW cap rate and the brooks.xlsx 5.0% HIGH cap rate. NOI is not filed for this property.</v>
      </c>
    </row>
    <row r="47" customFormat="false" ht="22.35" hidden="false" customHeight="true" outlineLevel="0" collapsed="false">
      <c r="A47" s="3" t="s">
        <v>85</v>
      </c>
      <c r="B47" s="10" t="s">
        <v>86</v>
      </c>
      <c r="C47" s="18" t="n">
        <f aca="false">[4]Sheet1!B101</f>
        <v>1</v>
      </c>
      <c r="D47" s="9" t="n">
        <f aca="false">[4]Sheet1!B102</f>
        <v>13143000</v>
      </c>
      <c r="E47" t="n" s="9">
        <f aca="false">IF([4]Sheet1!B105=0,"",[4]Sheet1!B103)</f>
        <v>39049629.7206644043</v>
      </c>
      <c r="F47" t="n" s="9">
        <f aca="false">IF([4]Sheet1!B105=0,"",[4]Sheet1!B104)</f>
        <v>46859555.6647972837</v>
      </c>
      <c r="G47" s="9" t="n">
        <f aca="false">C47*D47</f>
        <v>13143000</v>
      </c>
      <c r="H47" t="n" s="9">
        <f aca="false">IF(E47="","",C47*E47)</f>
        <v>39049629.7206644043</v>
      </c>
      <c r="I47" t="n" s="9">
        <f aca="false">IF(F47="","",C47*F47)</f>
        <v>46859555.6647972837</v>
      </c>
      <c r="J47" t="n" s="9">
        <f aca="false">IF(H47="","",H47-G47)</f>
        <v>25906629.7206644043</v>
      </c>
      <c r="K47" t="n" s="9">
        <f aca="false">IF(I47="","",I47-G47)</f>
        <v>33716555.6647972837</v>
      </c>
      <c r="L47" t="str" s="10">
        <f aca="false">[4]Sheet1!B108</f>
        <v>Method: in-place rent × (1 − residential segment expense ratio), divided by a 6.0% LOW cap rate and the brooks.xlsx 5.0% HIGH cap rate. NOI is not filed for this property.</v>
      </c>
    </row>
    <row r="48" customFormat="false" ht="22.35" hidden="false" customHeight="true" outlineLevel="0" collapsed="false">
      <c r="A48" s="3" t="s">
        <v>87</v>
      </c>
      <c r="B48" s="10" t="s">
        <v>88</v>
      </c>
      <c r="C48" s="18" t="n">
        <f aca="false">[5]Sheet1!B101</f>
        <v>1</v>
      </c>
      <c r="D48" s="9" t="n">
        <f aca="false">[5]Sheet1!B102</f>
        <v>16315000</v>
      </c>
      <c r="E48" t="n" s="9">
        <f aca="false">IF([5]Sheet1!B105=0,"",[5]Sheet1!B103)</f>
        <v>33422272.102161102</v>
      </c>
      <c r="F48" t="n" s="9">
        <f aca="false">IF([5]Sheet1!B105=0,"",[5]Sheet1!B104)</f>
        <v>40106726.5225933194</v>
      </c>
      <c r="G48" s="9" t="n">
        <f aca="false">C48*D48</f>
        <v>16315000</v>
      </c>
      <c r="H48" t="n" s="9">
        <f aca="false">IF(E48="","",C48*E48)</f>
        <v>33422272.102161102</v>
      </c>
      <c r="I48" t="n" s="9">
        <f aca="false">IF(F48="","",C48*F48)</f>
        <v>40106726.5225933194</v>
      </c>
      <c r="J48" t="n" s="9">
        <f aca="false">IF(H48="","",H48-G48)</f>
        <v>17107272.102161102</v>
      </c>
      <c r="K48" t="n" s="9">
        <f aca="false">IF(I48="","",I48-G48)</f>
        <v>23791726.5225933194</v>
      </c>
      <c r="L48" t="str" s="10">
        <f aca="false">[5]Sheet1!B108</f>
        <v>Method: in-place rent × (1 − residential segment expense ratio), divided by a 6.0% LOW cap rate and the brooks.xlsx 5.0% HIGH cap rate. NOI is not filed for this property.</v>
      </c>
    </row>
    <row r="49" customFormat="false" ht="22.35" hidden="false" customHeight="true" outlineLevel="0" collapsed="false">
      <c r="A49" s="3" t="s">
        <v>89</v>
      </c>
      <c r="B49" s="10" t="s">
        <v>90</v>
      </c>
      <c r="C49" s="18" t="n">
        <f aca="false">[6]Sheet1!B101</f>
        <v>1</v>
      </c>
      <c r="D49" s="9" t="n">
        <f aca="false">[6]Sheet1!B102</f>
        <v>17488000</v>
      </c>
      <c r="E49" t="n" s="9">
        <f aca="false">IF([6]Sheet1!B105=0,"",[6]Sheet1!B103)</f>
        <v>17303978.3532773703</v>
      </c>
      <c r="F49" t="n" s="9">
        <f aca="false">IF([6]Sheet1!B105=0,"",[6]Sheet1!B104)</f>
        <v>20764774.0239328444</v>
      </c>
      <c r="G49" s="9" t="n">
        <f aca="false">C49*D49</f>
        <v>17488000</v>
      </c>
      <c r="H49" t="n" s="9">
        <f aca="false">IF(E49="","",C49*E49)</f>
        <v>17303978.3532773703</v>
      </c>
      <c r="I49" t="n" s="9">
        <f aca="false">IF(F49="","",C49*F49)</f>
        <v>20764774.0239328444</v>
      </c>
      <c r="J49" t="n" s="9">
        <f aca="false">IF(H49="","",H49-G49)</f>
        <v>-184021.6467226297</v>
      </c>
      <c r="K49" t="n" s="9">
        <f aca="false">IF(I49="","",I49-G49)</f>
        <v>3276774.0239328444</v>
      </c>
      <c r="L49" t="str" s="10">
        <f aca="false">[6]Sheet1!B108</f>
        <v>Method: in-place rent × (1 − residential segment expense ratio), divided by a 6.0% LOW cap rate and the brooks.xlsx 5.0% HIGH cap rate. NOI is not filed for this property.</v>
      </c>
    </row>
    <row r="50" customFormat="false" ht="22.35" hidden="false" customHeight="true" outlineLevel="0" collapsed="false">
      <c r="A50" s="3" t="s">
        <v>91</v>
      </c>
      <c r="B50" s="10" t="s">
        <v>92</v>
      </c>
      <c r="C50" s="18" t="n">
        <f aca="false">[7]Sheet1!B101</f>
        <v>1</v>
      </c>
      <c r="D50" s="9" t="n">
        <f aca="false">[7]Sheet1!B102</f>
        <v>821000</v>
      </c>
      <c r="E50" t="n" s="9">
        <f aca="false">IF([7]Sheet1!B105=0,"",[7]Sheet1!B103)</f>
        <v>23174494.2608799227</v>
      </c>
      <c r="F50" t="n" s="9">
        <f aca="false">IF([7]Sheet1!B105=0,"",[7]Sheet1!B104)</f>
        <v>27809393.1130559035</v>
      </c>
      <c r="G50" s="9" t="n">
        <f aca="false">C50*D50</f>
        <v>821000</v>
      </c>
      <c r="H50" t="n" s="9">
        <f aca="false">IF(E50="","",C50*E50)</f>
        <v>23174494.2608799227</v>
      </c>
      <c r="I50" t="n" s="9">
        <f aca="false">IF(F50="","",C50*F50)</f>
        <v>27809393.1130559035</v>
      </c>
      <c r="J50" t="n" s="9">
        <f aca="false">IF(H50="","",H50-G50)</f>
        <v>22353494.2608799227</v>
      </c>
      <c r="K50" t="n" s="9">
        <f aca="false">IF(I50="","",I50-G50)</f>
        <v>26988393.1130559035</v>
      </c>
      <c r="L50" t="str" s="10">
        <f aca="false">[7]Sheet1!B108</f>
        <v>Method: in-place rent × (1 − residential segment expense ratio), divided by a 6.0% LOW cap rate and the brooks.xlsx 5.0% HIGH cap rate. NOI is not filed for this property.</v>
      </c>
    </row>
    <row r="51" customFormat="false" ht="22.35" hidden="false" customHeight="true" outlineLevel="0" collapsed="false">
      <c r="A51" s="3" t="s">
        <v>93</v>
      </c>
      <c r="B51" s="10" t="s">
        <v>94</v>
      </c>
      <c r="C51" s="18" t="n">
        <f aca="false">[8]Sheet1!B101</f>
        <v>1</v>
      </c>
      <c r="D51" s="9" t="n">
        <f aca="false">[8]Sheet1!B102</f>
        <v>7217000</v>
      </c>
      <c r="E51" t="n" s="9">
        <f aca="false">IF([8]Sheet1!B105=0,"",[8]Sheet1!B103)</f>
        <v>28800000</v>
      </c>
      <c r="F51" t="n" s="9">
        <f aca="false">IF([8]Sheet1!B105=0,"",[8]Sheet1!B104)</f>
        <v>28800000</v>
      </c>
      <c r="G51" s="9" t="n">
        <f aca="false">C51*D51</f>
        <v>7217000</v>
      </c>
      <c r="H51" t="n" s="9">
        <f aca="false">IF(E51="","",C51*E51)</f>
        <v>28800000</v>
      </c>
      <c r="I51" t="n" s="9">
        <f aca="false">IF(F51="","",C51*F51)</f>
        <v>28800000</v>
      </c>
      <c r="J51" t="n" s="9">
        <f aca="false">IF(H51="","",H51-G51)</f>
        <v>21583000</v>
      </c>
      <c r="K51" t="n" s="9">
        <f aca="false">IF(I51="","",I51-G51)</f>
        <v>21583000</v>
      </c>
      <c r="L51" t="str" s="10">
        <f aca="false">[8]Sheet1!B108</f>
        <v>Filing: May 26, 2026 contract price of $28,800,000. LOW and HIGH are the same price. Not a cap rate.</v>
      </c>
    </row>
    <row r="52" customFormat="false" ht="22.35" hidden="false" customHeight="true" outlineLevel="0" collapsed="false">
      <c r="A52" s="3" t="s">
        <v>95</v>
      </c>
      <c r="B52" s="10" t="s">
        <v>96</v>
      </c>
      <c r="C52" s="18" t="n">
        <f aca="false">[9]Sheet1!B101</f>
        <v>0.4</v>
      </c>
      <c r="D52" s="9" t="n">
        <f aca="false">[9]Sheet1!B102</f>
        <v>20305000</v>
      </c>
      <c r="E52" t="n" s="9">
        <f aca="false">IF([9]Sheet1!B105=0,"",[9]Sheet1!B103)</f>
        <v>10000000</v>
      </c>
      <c r="F52" t="n" s="9">
        <f aca="false">IF([9]Sheet1!B105=0,"",[9]Sheet1!B104)</f>
        <v>25000000</v>
      </c>
      <c r="G52" s="9" t="n">
        <f aca="false">C52*D52</f>
        <v>8122000</v>
      </c>
      <c r="H52" t="n" s="9">
        <f aca="false">IF(E52="","",C52*E52)</f>
        <v>4000000</v>
      </c>
      <c r="I52" t="n" s="9">
        <f aca="false">IF(F52="","",C52*F52)</f>
        <v>10000000</v>
      </c>
      <c r="J52" t="n" s="9">
        <f aca="false">IF(H52="","",H52-G52)</f>
        <v>-4122000</v>
      </c>
      <c r="K52" t="n" s="9">
        <f aca="false">IF(I52="","",I52-G52)</f>
        <v>1878000</v>
      </c>
      <c r="L52" t="str" s="10">
        <f aca="false">[9]Sheet1!B108</f>
        <v>Entered prices for 100% of the center: LOW 10,000,000 and HIGH 25,000,000. The investment case takes 40% of (price minus carrying value).</v>
      </c>
    </row>
    <row r="53" customFormat="false" ht="22.35" hidden="false" customHeight="true" outlineLevel="0" collapsed="false">
      <c r="A53" s="3" t="s">
        <v>97</v>
      </c>
      <c r="B53" s="10" t="s">
        <v>98</v>
      </c>
      <c r="C53" s="18" t="n">
        <f aca="false">[10]Sheet1!B101</f>
        <v>1</v>
      </c>
      <c r="D53" s="9" t="n">
        <f aca="false">[10]Sheet1!B102</f>
        <v>558000</v>
      </c>
      <c r="E53" s="9" t="str">
        <f aca="false">IF([10]Sheet1!B105=0,"",[10]Sheet1!B103)</f>
        <v/>
      </c>
      <c r="F53" s="9" t="str">
        <f aca="false">IF([10]Sheet1!B105=0,"",[10]Sheet1!B104)</f>
        <v/>
      </c>
      <c r="G53" s="9" t="n">
        <f aca="false">C53*D53</f>
        <v>558000</v>
      </c>
      <c r="H53" s="9" t="str">
        <f aca="false">IF(E53="","",C53*E53)</f>
        <v/>
      </c>
      <c r="I53" s="9" t="str">
        <f aca="false">IF(F53="","",C53*F53)</f>
        <v/>
      </c>
      <c r="J53" s="9" t="str">
        <f aca="false">IF(H53="","",H53-G53)</f>
        <v/>
      </c>
      <c r="K53" s="9" t="str">
        <f aca="false">IF(I53="","",I53-G53)</f>
        <v/>
      </c>
      <c r="L53" s="10" t="str">
        <f aca="false">[10]Sheet1!B108</f>
        <v>Not estimated. Immaterial parcels and the Glen Rock store. No NOI, rent (bank), or appraisal. Held at October 31, 2025 carrying value.</v>
      </c>
    </row>
    <row r="54" customFormat="false" ht="16.4" hidden="false" customHeight="false" outlineLevel="0" collapsed="false">
      <c r="A54" s="11" t="s">
        <v>99</v>
      </c>
      <c r="B54" s="14"/>
      <c r="C54" s="14"/>
      <c r="D54" s="14"/>
      <c r="E54" s="14"/>
      <c r="F54" s="14"/>
      <c r="G54" s="12" t="n">
        <f aca="false">SUM(G44:G53)</f>
        <v>114165750</v>
      </c>
      <c r="H54" s="14"/>
      <c r="I54" s="14"/>
      <c r="J54" t="n" s="12">
        <f aca="false">SUM(J44:J53)</f>
        <v>142117189.4454962313</v>
      </c>
      <c r="K54" t="n" s="12">
        <f aca="false">SUM(K44:K53)</f>
        <v>192702177.3345954716</v>
      </c>
      <c r="L54" s="14"/>
    </row>
    <row r="56" customFormat="false" ht="19.5" hidden="false" customHeight="true" outlineLevel="0" collapsed="false">
      <c r="A56" s="7" t="s">
        <v>100</v>
      </c>
      <c r="B56" s="7"/>
      <c r="C56" s="7"/>
      <c r="D56" s="7"/>
      <c r="E56" s="7"/>
      <c r="F56" s="7"/>
      <c r="G56" s="7"/>
      <c r="H56" s="7"/>
    </row>
    <row r="57" customFormat="false" ht="72" hidden="false" customHeight="true" outlineLevel="0" collapsed="false">
      <c r="A57" s="17" t="s">
        <v>101</v>
      </c>
      <c r="B57" s="17"/>
      <c r="C57" s="17"/>
      <c r="D57" s="17"/>
      <c r="E57" s="17"/>
      <c r="F57" s="17"/>
      <c r="G57" s="17"/>
      <c r="H57" s="17"/>
    </row>
    <row r="58" customFormat="false" ht="31.5" hidden="false" customHeight="true" outlineLevel="0" collapsed="false">
      <c r="A58" s="8"/>
      <c r="B58" s="8" t="s">
        <v>102</v>
      </c>
      <c r="C58" s="8" t="s">
        <v>103</v>
      </c>
      <c r="D58" s="8" t="s">
        <v>104</v>
      </c>
      <c r="E58" s="8" t="s">
        <v>105</v>
      </c>
      <c r="F58" s="8" t="s">
        <v>106</v>
      </c>
      <c r="G58" s="8" t="s">
        <v>107</v>
      </c>
    </row>
    <row r="59" customFormat="false" ht="16.4" hidden="false" customHeight="false" outlineLevel="0" collapsed="false">
      <c r="A59" s="3" t="s">
        <v>108</v>
      </c>
      <c r="B59" s="9" t="n">
        <f aca="false">B34</f>
        <v>53666000</v>
      </c>
      <c r="C59" s="9" t="n">
        <f aca="false">B34</f>
        <v>53666000</v>
      </c>
      <c r="D59" s="9" t="n">
        <f aca="false">B34</f>
        <v>53666000</v>
      </c>
      <c r="E59" s="9" t="n">
        <f aca="false">B59-$B$7</f>
        <v>29722217.6</v>
      </c>
      <c r="F59" s="9" t="n">
        <f aca="false">C59-$B$7</f>
        <v>29722217.6</v>
      </c>
      <c r="G59" s="9" t="n">
        <f aca="false">D59-$B$7</f>
        <v>29722217.6</v>
      </c>
    </row>
    <row r="60" customFormat="false" ht="16.4" hidden="false" customHeight="false" outlineLevel="0" collapsed="false">
      <c r="A60" s="3" t="s">
        <v>109</v>
      </c>
      <c r="B60" s="9" t="n">
        <v>0</v>
      </c>
      <c r="C60" t="n" s="9">
        <f aca="false">J54</f>
        <v>142117189.4454962313</v>
      </c>
      <c r="D60" t="n" s="9">
        <f aca="false">K54</f>
        <v>192702177.3345954716</v>
      </c>
      <c r="E60" s="9" t="n">
        <f aca="false">B60</f>
        <v>0</v>
      </c>
      <c r="F60" t="n" s="9">
        <f aca="false">C60</f>
        <v>142117189.4454962313</v>
      </c>
      <c r="G60" t="n" s="9">
        <f aca="false">D60</f>
        <v>192702177.3345954716</v>
      </c>
    </row>
    <row r="61" customFormat="false" ht="16.4" hidden="false" customHeight="false" outlineLevel="0" collapsed="false">
      <c r="A61" s="11" t="s">
        <v>110</v>
      </c>
      <c r="B61" s="12" t="n">
        <f aca="false">B59+B60</f>
        <v>53666000</v>
      </c>
      <c r="C61" t="n" s="12">
        <f aca="false">C59+C60</f>
        <v>195783189.4454962313</v>
      </c>
      <c r="D61" t="n" s="12">
        <f aca="false">D59+D60</f>
        <v>246368177.3345954716</v>
      </c>
      <c r="E61" s="12" t="n">
        <f aca="false">E59+E60</f>
        <v>29722217.6</v>
      </c>
      <c r="F61" t="n" s="12">
        <f aca="false">F59+F60</f>
        <v>171839407.0454962254</v>
      </c>
      <c r="G61" t="n" s="12">
        <f aca="false">G59+G60</f>
        <v>222424394.9345954657</v>
      </c>
    </row>
    <row r="62" customFormat="false" ht="16.4" hidden="false" customHeight="false" outlineLevel="0" collapsed="false">
      <c r="A62" s="11" t="s">
        <v>111</v>
      </c>
      <c r="B62" s="13" t="n">
        <f aca="false">B61/$B$5</f>
        <v>7.17226698485198</v>
      </c>
      <c r="C62" t="n" s="13">
        <f aca="false">C61/$B$5</f>
        <v>26.1657158322</v>
      </c>
      <c r="D62" t="n" s="13">
        <f aca="false">D61/$B$5</f>
        <v>32.9262166812</v>
      </c>
      <c r="E62" s="13" t="n">
        <f aca="false">E61/$B$5</f>
        <v>3.97226698485198</v>
      </c>
      <c r="F62" t="n" s="13">
        <f aca="false">F61/$B$5</f>
        <v>22.9657158322</v>
      </c>
      <c r="G62" t="n" s="13">
        <f aca="false">G61/$B$5</f>
        <v>29.7262166812</v>
      </c>
    </row>
    <row r="63" customFormat="false" ht="16.4" hidden="false" customHeight="false" outlineLevel="0" collapsed="false">
      <c r="A63" s="3" t="s">
        <v>112</v>
      </c>
      <c r="B63" s="19" t="e">
        <f aca="false">IF(#REF!="", "", B62/#REF!-1)</f>
        <v>#REF!</v>
      </c>
      <c r="C63" s="19" t="e">
        <f aca="false">IF(#REF!="", "", C62/#REF!-1)</f>
        <v>#REF!</v>
      </c>
      <c r="D63" s="19" t="e">
        <f aca="false">IF(#REF!="", "", D62/#REF!-1)</f>
        <v>#REF!</v>
      </c>
      <c r="E63" s="19" t="e">
        <f aca="false">IF(#REF!="", "", E62/#REF!-1)</f>
        <v>#REF!</v>
      </c>
      <c r="F63" s="19" t="e">
        <f aca="false">IF(#REF!="", "", F62/#REF!-1)</f>
        <v>#REF!</v>
      </c>
      <c r="G63" s="19" t="e">
        <f aca="false">IF(#REF!="", "", G62/#REF!-1)</f>
        <v>#REF!</v>
      </c>
    </row>
    <row r="65" customFormat="false" ht="19.5" hidden="false" customHeight="true" outlineLevel="0" collapsed="false">
      <c r="A65" s="7" t="s">
        <v>113</v>
      </c>
      <c r="B65" s="7"/>
      <c r="C65" s="7"/>
      <c r="D65" s="7"/>
      <c r="E65" s="7"/>
      <c r="F65" s="7"/>
      <c r="G65" s="7"/>
      <c r="H65" s="7"/>
    </row>
    <row r="66" customFormat="false" ht="109.5" hidden="false" customHeight="true" outlineLevel="0" collapsed="false">
      <c r="A66" s="17" t="s">
        <v>114</v>
      </c>
      <c r="B66" s="17"/>
      <c r="C66" s="17"/>
      <c r="D66" s="17"/>
      <c r="E66" s="17"/>
      <c r="F66" s="17"/>
      <c r="G66" s="17"/>
      <c r="H66" s="17"/>
    </row>
    <row r="67" customFormat="false" ht="31.5" hidden="false" customHeight="true" outlineLevel="0" collapsed="false">
      <c r="A67" s="8" t="s">
        <v>115</v>
      </c>
      <c r="B67" s="8" t="s">
        <v>116</v>
      </c>
      <c r="C67" s="8" t="s">
        <v>117</v>
      </c>
      <c r="D67" s="8" t="s">
        <v>118</v>
      </c>
    </row>
    <row r="68" customFormat="false" ht="16.4" hidden="false" customHeight="false" outlineLevel="0" collapsed="false">
      <c r="A68" s="3" t="s">
        <v>119</v>
      </c>
      <c r="B68" s="6" t="n">
        <v>24.44</v>
      </c>
      <c r="C68" s="6" t="n">
        <v>26.83</v>
      </c>
      <c r="D68" s="6" t="n">
        <v>30.03</v>
      </c>
    </row>
    <row r="69" customFormat="false" ht="16.4" hidden="false" customHeight="false" outlineLevel="0" collapsed="false">
      <c r="A69" s="3" t="s">
        <v>120</v>
      </c>
      <c r="B69" s="9" t="n">
        <f aca="false">B68*$B$5</f>
        <v>182870638.08</v>
      </c>
      <c r="C69" s="9" t="n">
        <f aca="false">C68*$B$5</f>
        <v>200753650.56</v>
      </c>
      <c r="D69" s="9" t="n">
        <f aca="false">D68*$B$5</f>
        <v>224697432.96</v>
      </c>
    </row>
    <row r="70" customFormat="false" ht="55.2" hidden="false" customHeight="false" outlineLevel="0" collapsed="false">
      <c r="A70" s="3" t="s">
        <v>121</v>
      </c>
      <c r="B70" s="6" t="n">
        <f aca="false">B62</f>
        <v>7.17226698485198</v>
      </c>
      <c r="C70" t="n" s="6">
        <f aca="false">C62</f>
        <v>26.1657158322</v>
      </c>
      <c r="D70" t="n" s="6">
        <f aca="false">D62</f>
        <v>32.9262166812</v>
      </c>
      <c r="E70" s="10" t="s">
        <v>122</v>
      </c>
    </row>
    <row r="71" customFormat="false" ht="16.4" hidden="false" customHeight="false" outlineLevel="0" collapsed="false">
      <c r="A71" s="3" t="s">
        <v>123</v>
      </c>
      <c r="B71" s="6" t="n">
        <v>24.61</v>
      </c>
      <c r="D71" s="6" t="n">
        <v>31.18</v>
      </c>
    </row>
    <row r="72" customFormat="false" ht="16.4" hidden="false" customHeight="false" outlineLevel="0" collapsed="false">
      <c r="A72" s="3" t="s">
        <v>124</v>
      </c>
      <c r="B72" s="6" t="n">
        <v>26.3</v>
      </c>
      <c r="D72" s="6" t="n">
        <v>32.23</v>
      </c>
    </row>
    <row r="74" customFormat="false" ht="19.5" hidden="false" customHeight="true" outlineLevel="0" collapsed="false">
      <c r="A74" s="7" t="s">
        <v>125</v>
      </c>
      <c r="B74" s="7"/>
      <c r="C74" s="7"/>
      <c r="D74" s="7"/>
      <c r="E74" s="7"/>
      <c r="F74" s="7"/>
      <c r="G74" s="7"/>
      <c r="H74" s="7"/>
    </row>
    <row r="75" customFormat="false" ht="31.5" hidden="false" customHeight="true" outlineLevel="0" collapsed="false">
      <c r="A75" s="3" t="s">
        <v>126</v>
      </c>
      <c r="B75" s="20" t="n">
        <v>20060000</v>
      </c>
      <c r="C75" s="10" t="s">
        <v>127</v>
      </c>
    </row>
    <row r="76" customFormat="false" ht="16.4" hidden="false" customHeight="false" outlineLevel="0" collapsed="false">
      <c r="A76" s="3" t="s">
        <v>128</v>
      </c>
      <c r="B76" t="n" s="6">
        <f aca="false">(C61-B75)/$B$5</f>
        <v>23.4847693164</v>
      </c>
    </row>
    <row r="77" customFormat="false" ht="16.4" hidden="false" customHeight="false" outlineLevel="0" collapsed="false">
      <c r="A77" s="3" t="s">
        <v>129</v>
      </c>
      <c r="B77" t="n" s="6">
        <f aca="false">(D61-B75)/$B$5</f>
        <v>30.2452701654</v>
      </c>
    </row>
    <row r="78" customFormat="false" ht="36" hidden="false" customHeight="true" outlineLevel="0" collapsed="false">
      <c r="A78" s="3" t="s">
        <v>130</v>
      </c>
      <c r="B78" s="21" t="n">
        <v>0.0165</v>
      </c>
      <c r="C78" s="10" t="s">
        <v>131</v>
      </c>
    </row>
    <row r="79" customFormat="false" ht="122.35" hidden="false" customHeight="false" outlineLevel="0" collapsed="false">
      <c r="A79" s="3" t="s">
        <v>132</v>
      </c>
      <c r="B79" t="n" s="9">
        <f aca="false">B78*SUM(H44:H53)</f>
        <v>4219461.5008506887</v>
      </c>
      <c r="C79" s="10" t="s">
        <v>133</v>
      </c>
    </row>
    <row r="80" customFormat="false" ht="16.4" hidden="false" customHeight="false" outlineLevel="0" collapsed="false">
      <c r="A80" s="3" t="s">
        <v>134</v>
      </c>
      <c r="B80" t="n" s="9">
        <f aca="false">B78*SUM(I44:I53)</f>
        <v>5054113.8010208253</v>
      </c>
    </row>
    <row r="82" customFormat="false" ht="82.05" hidden="false" customHeight="false" outlineLevel="0" collapsed="false">
      <c r="A82" s="3" t="s">
        <v>135</v>
      </c>
      <c r="B82" s="9" t="n">
        <f aca="false">SUM([3]Sheet1!B106,[5]Sheet1!B106,[7]Sheet1!B106,[2]Sheet1!B106,[4]Sheet1!B106,[6]Sheet1!B106,[8]Sheet1!B106,[9]Sheet1!B106)</f>
        <v>114840000</v>
      </c>
      <c r="C82" s="9" t="n">
        <f aca="false">B82-B24</f>
        <v>0</v>
      </c>
      <c r="D82" s="10" t="s">
        <v>136</v>
      </c>
    </row>
    <row r="84" customFormat="false" ht="31.5" hidden="false" customHeight="true" outlineLevel="0" collapsed="false">
      <c r="A84" s="3" t="s">
        <v>137</v>
      </c>
      <c r="B84" s="9" t="n">
        <f aca="false">SUM([3]Sheet1!B10,[5]Sheet1!B10,[7]Sheet1!B10,[2]Sheet1!B10,[4]Sheet1!B10,[6]Sheet1!B10)</f>
        <v>22940943.72</v>
      </c>
      <c r="C84" s="10" t="s">
        <v>138</v>
      </c>
    </row>
    <row r="86" customFormat="false" ht="19.5" hidden="false" customHeight="true" outlineLevel="0" collapsed="false">
      <c r="A86" s="7" t="s">
        <v>139</v>
      </c>
      <c r="B86" s="7"/>
      <c r="C86" s="7"/>
      <c r="D86" s="7"/>
      <c r="E86" s="7"/>
      <c r="F86" s="7"/>
      <c r="G86" s="7"/>
      <c r="H86" s="7"/>
    </row>
    <row r="87" customFormat="false" ht="31.5" hidden="false" customHeight="true" outlineLevel="0" collapsed="false">
      <c r="A87" s="17" t="s">
        <v>140</v>
      </c>
      <c r="B87" s="17"/>
      <c r="C87" s="17"/>
      <c r="D87" s="17"/>
      <c r="E87" s="17"/>
      <c r="F87" s="17"/>
      <c r="G87" s="17"/>
      <c r="H87" s="17"/>
    </row>
    <row r="88" customFormat="false" ht="31.5" hidden="false" customHeight="true" outlineLevel="0" collapsed="false">
      <c r="A88" s="17" t="s">
        <v>141</v>
      </c>
      <c r="B88" s="17"/>
      <c r="C88" s="17"/>
      <c r="D88" s="17"/>
      <c r="E88" s="17"/>
      <c r="F88" s="17"/>
      <c r="G88" s="17"/>
      <c r="H88" s="17"/>
    </row>
    <row r="89" customFormat="false" ht="31.5" hidden="false" customHeight="true" outlineLevel="0" collapsed="false">
      <c r="A89" s="17" t="s">
        <v>142</v>
      </c>
      <c r="B89" s="17"/>
      <c r="C89" s="17"/>
      <c r="D89" s="17"/>
      <c r="E89" s="17"/>
      <c r="F89" s="17"/>
      <c r="G89" s="17"/>
      <c r="H89" s="17"/>
    </row>
    <row r="90" customFormat="false" ht="31.5" hidden="false" customHeight="true" outlineLevel="0" collapsed="false">
      <c r="A90" s="17" t="s">
        <v>143</v>
      </c>
      <c r="B90" s="17"/>
      <c r="C90" s="17"/>
      <c r="D90" s="17"/>
      <c r="E90" s="17"/>
      <c r="F90" s="17"/>
      <c r="G90" s="17"/>
      <c r="H90" s="17"/>
    </row>
    <row r="91" customFormat="false" ht="31.5" hidden="false" customHeight="true" outlineLevel="0" collapsed="false">
      <c r="A91" s="17" t="s">
        <v>144</v>
      </c>
      <c r="B91" s="17"/>
      <c r="C91" s="17"/>
      <c r="D91" s="17"/>
      <c r="E91" s="17"/>
      <c r="F91" s="17"/>
      <c r="G91" s="17"/>
      <c r="H91" s="17"/>
    </row>
    <row r="92" customFormat="false" ht="31.5" hidden="false" customHeight="true" outlineLevel="0" collapsed="false">
      <c r="A92" s="17" t="s">
        <v>145</v>
      </c>
      <c r="B92" s="17"/>
      <c r="C92" s="17"/>
      <c r="D92" s="17"/>
      <c r="E92" s="17"/>
      <c r="F92" s="17"/>
      <c r="G92" s="17"/>
      <c r="H92" s="17"/>
    </row>
    <row r="93" customFormat="false" ht="31.5" hidden="false" customHeight="true" outlineLevel="0" collapsed="false">
      <c r="A93" s="17" t="s">
        <v>146</v>
      </c>
      <c r="B93" s="17"/>
      <c r="C93" s="17"/>
      <c r="D93" s="17"/>
      <c r="E93" s="17"/>
      <c r="F93" s="17"/>
      <c r="G93" s="17"/>
      <c r="H93" s="17"/>
    </row>
    <row r="94" customFormat="false" ht="31.5" hidden="false" customHeight="true" outlineLevel="0" collapsed="false">
      <c r="A94" s="17" t="s">
        <v>147</v>
      </c>
      <c r="B94" s="17"/>
      <c r="C94" s="17"/>
      <c r="D94" s="17"/>
      <c r="E94" s="17"/>
      <c r="F94" s="17"/>
      <c r="G94" s="17"/>
      <c r="H94" s="17"/>
    </row>
    <row r="95" customFormat="false" ht="31.5" hidden="false" customHeight="true" outlineLevel="0" collapsed="false">
      <c r="A95" s="17" t="s">
        <v>148</v>
      </c>
      <c r="B95" s="17"/>
      <c r="C95" s="17"/>
      <c r="D95" s="17"/>
      <c r="E95" s="17"/>
      <c r="F95" s="17"/>
      <c r="G95" s="17"/>
      <c r="H95" s="17"/>
    </row>
    <row r="96" customFormat="false" ht="31.5" hidden="false" customHeight="true" outlineLevel="0" collapsed="false">
      <c r="A96" s="17" t="s">
        <v>149</v>
      </c>
      <c r="B96" s="17"/>
      <c r="C96" s="17"/>
      <c r="D96" s="17"/>
      <c r="E96" s="17"/>
      <c r="F96" s="17"/>
      <c r="G96" s="17"/>
      <c r="H96" s="17"/>
    </row>
    <row r="97" customFormat="false" ht="31.5" hidden="false" customHeight="true" outlineLevel="0" collapsed="false">
      <c r="A97" s="17" t="s">
        <v>150</v>
      </c>
      <c r="B97" s="17"/>
      <c r="C97" s="17"/>
      <c r="D97" s="17"/>
      <c r="E97" s="17"/>
      <c r="F97" s="17"/>
      <c r="G97" s="17"/>
      <c r="H97" s="17"/>
    </row>
    <row r="98" customFormat="false" ht="31.5" hidden="false" customHeight="true" outlineLevel="0" collapsed="false">
      <c r="A98" s="17" t="s">
        <v>151</v>
      </c>
      <c r="B98" s="17"/>
      <c r="C98" s="17"/>
      <c r="D98" s="17"/>
      <c r="E98" s="17"/>
      <c r="F98" s="17"/>
      <c r="G98" s="17"/>
      <c r="H98" s="17"/>
    </row>
    <row r="100" customFormat="false" ht="19.5" hidden="false" customHeight="true" outlineLevel="0" collapsed="false">
      <c r="A100" s="7" t="s">
        <v>152</v>
      </c>
      <c r="B100" s="7"/>
      <c r="C100" s="7"/>
      <c r="D100" s="7"/>
      <c r="E100" s="7"/>
      <c r="F100" s="7"/>
      <c r="G100" s="7"/>
      <c r="H100" s="7"/>
    </row>
    <row r="101" customFormat="false" ht="31.5" hidden="false" customHeight="true" outlineLevel="0" collapsed="false">
      <c r="A101" s="17" t="s">
        <v>153</v>
      </c>
      <c r="B101" s="17"/>
      <c r="C101" s="17"/>
      <c r="D101" s="17"/>
      <c r="E101" s="17"/>
      <c r="F101" s="17"/>
      <c r="G101" s="17"/>
      <c r="H101" s="17"/>
    </row>
    <row r="102" customFormat="false" ht="31.5" hidden="false" customHeight="true" outlineLevel="0" collapsed="false">
      <c r="A102" s="17" t="s">
        <v>154</v>
      </c>
      <c r="B102" s="17"/>
      <c r="C102" s="17"/>
      <c r="D102" s="17"/>
      <c r="E102" s="17"/>
      <c r="F102" s="17"/>
      <c r="G102" s="17"/>
      <c r="H102" s="17"/>
    </row>
    <row r="103" customFormat="false" ht="31.5" hidden="false" customHeight="true" outlineLevel="0" collapsed="false">
      <c r="A103" s="17" t="s">
        <v>155</v>
      </c>
      <c r="B103" s="17"/>
      <c r="C103" s="17"/>
      <c r="D103" s="17"/>
      <c r="E103" s="17"/>
      <c r="F103" s="17"/>
      <c r="G103" s="17"/>
      <c r="H103" s="17"/>
    </row>
    <row r="104" customFormat="false" ht="31.5" hidden="false" customHeight="true" outlineLevel="0" collapsed="false">
      <c r="A104" s="17" t="s">
        <v>156</v>
      </c>
      <c r="B104" s="17"/>
      <c r="C104" s="17"/>
      <c r="D104" s="17"/>
      <c r="E104" s="17"/>
      <c r="F104" s="17"/>
      <c r="G104" s="17"/>
      <c r="H104" s="17"/>
    </row>
    <row r="105" customFormat="false" ht="31.5" hidden="false" customHeight="true" outlineLevel="0" collapsed="false">
      <c r="A105" s="17" t="s">
        <v>157</v>
      </c>
      <c r="B105" s="17"/>
      <c r="C105" s="17"/>
      <c r="D105" s="17"/>
      <c r="E105" s="17"/>
      <c r="F105" s="17"/>
      <c r="G105" s="17"/>
      <c r="H105" s="17"/>
    </row>
    <row r="106" customFormat="false" ht="31.5" hidden="false" customHeight="true" outlineLevel="0" collapsed="false">
      <c r="A106" s="17" t="s">
        <v>158</v>
      </c>
      <c r="B106" s="17"/>
      <c r="C106" s="17"/>
      <c r="D106" s="17"/>
      <c r="E106" s="17"/>
      <c r="F106" s="17"/>
      <c r="G106" s="17"/>
      <c r="H106" s="17"/>
    </row>
    <row r="1048576" customFormat="false" ht="12.8" hidden="false" customHeight="false" outlineLevel="0" collapsed="false"/>
  </sheetData>
  <mergeCells count="33">
    <mergeCell ref="C3:H3"/>
    <mergeCell ref="C5:L5"/>
    <mergeCell ref="C6:G6"/>
    <mergeCell ref="C7:G7"/>
    <mergeCell ref="A9:H9"/>
    <mergeCell ref="A39:H39"/>
    <mergeCell ref="A41:L41"/>
    <mergeCell ref="A42:L42"/>
    <mergeCell ref="A56:H56"/>
    <mergeCell ref="A57:H57"/>
    <mergeCell ref="A65:H65"/>
    <mergeCell ref="A66:H66"/>
    <mergeCell ref="A74:H74"/>
    <mergeCell ref="A86:H86"/>
    <mergeCell ref="A87:H87"/>
    <mergeCell ref="A88:H88"/>
    <mergeCell ref="A89:H89"/>
    <mergeCell ref="A90:H90"/>
    <mergeCell ref="A91:H91"/>
    <mergeCell ref="A92:H92"/>
    <mergeCell ref="A93:H93"/>
    <mergeCell ref="A94:H94"/>
    <mergeCell ref="A95:H95"/>
    <mergeCell ref="A96:H96"/>
    <mergeCell ref="A97:H97"/>
    <mergeCell ref="A98:H98"/>
    <mergeCell ref="A100:H100"/>
    <mergeCell ref="A101:H101"/>
    <mergeCell ref="A102:H102"/>
    <mergeCell ref="A103:H103"/>
    <mergeCell ref="A104:H104"/>
    <mergeCell ref="A105:H105"/>
    <mergeCell ref="A106:H106"/>
  </mergeCells>
  <printOptions headings="false" gridLines="false" gridLinesSet="true" horizontalCentered="false" verticalCentered="false"/>
  <pageMargins left="0.75" right="0.75" top="1" bottom="1" header="0.5" footer="0.511811023622047"/>
  <pageSetup paperSize="3" scale="100" fitToWidth="1" fitToHeight="0" pageOrder="downThenOver" orientation="landscape" blackAndWhite="false" draft="false" cellComments="none" horizontalDpi="300" verticalDpi="300" copies="1"/>
  <headerFooter differentFirst="false" differentOddEven="false">
    <oddHeader>&amp;LFREVS liquidation case</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8"/>
    <col collapsed="false" customWidth="true" hidden="false" outlineLevel="0" max="2" min="2" style="1" width="120"/>
    <col collapsed="false" customWidth="true" hidden="false" outlineLevel="0" max="3" min="3" style="1" width="55"/>
  </cols>
  <sheetData>
    <row r="1" customFormat="false" ht="43.25" hidden="false" customHeight="false" outlineLevel="0" collapsed="false">
      <c r="A1" s="2" t="s">
        <v>159</v>
      </c>
    </row>
    <row r="2" customFormat="false" ht="15" hidden="false" customHeight="false" outlineLevel="0" collapsed="false">
      <c r="B2" s="22" t="s">
        <v>160</v>
      </c>
    </row>
    <row r="4" customFormat="false" ht="15" hidden="false" customHeight="false" outlineLevel="0" collapsed="false">
      <c r="A4" s="23" t="s">
        <v>161</v>
      </c>
      <c r="B4" s="23" t="s">
        <v>162</v>
      </c>
      <c r="C4" s="23" t="s">
        <v>163</v>
      </c>
    </row>
    <row r="5" customFormat="false" ht="48" hidden="false" customHeight="true" outlineLevel="0" collapsed="false">
      <c r="A5" s="24" t="n">
        <v>1</v>
      </c>
      <c r="B5" s="25" t="s">
        <v>164</v>
      </c>
      <c r="C5" s="26" t="s">
        <v>165</v>
      </c>
    </row>
    <row r="6" customFormat="false" ht="48" hidden="false" customHeight="true" outlineLevel="0" collapsed="false">
      <c r="A6" s="24" t="n">
        <v>2</v>
      </c>
      <c r="B6" s="25" t="s">
        <v>166</v>
      </c>
      <c r="C6" s="26" t="s">
        <v>167</v>
      </c>
    </row>
    <row r="7" customFormat="false" ht="48" hidden="false" customHeight="true" outlineLevel="0" collapsed="false">
      <c r="A7" s="24" t="n">
        <v>3</v>
      </c>
      <c r="B7" s="25" t="s">
        <v>168</v>
      </c>
      <c r="C7" s="26" t="s">
        <v>169</v>
      </c>
    </row>
    <row r="8" customFormat="false" ht="48" hidden="false" customHeight="true" outlineLevel="0" collapsed="false">
      <c r="A8" s="24" t="n">
        <v>4</v>
      </c>
      <c r="B8" s="25" t="s">
        <v>170</v>
      </c>
      <c r="C8" s="26" t="s">
        <v>171</v>
      </c>
    </row>
    <row r="9" customFormat="false" ht="48" hidden="false" customHeight="true" outlineLevel="0" collapsed="false">
      <c r="A9" s="24" t="n">
        <v>5</v>
      </c>
      <c r="B9" s="25" t="s">
        <v>172</v>
      </c>
      <c r="C9" s="26" t="s">
        <v>98</v>
      </c>
    </row>
    <row r="10" customFormat="false" ht="48" hidden="false" customHeight="true" outlineLevel="0" collapsed="false">
      <c r="A10" s="24" t="n">
        <v>6</v>
      </c>
      <c r="B10" s="25" t="s">
        <v>173</v>
      </c>
      <c r="C10" s="26" t="s">
        <v>94</v>
      </c>
    </row>
    <row r="11" customFormat="false" ht="48" hidden="false" customHeight="true" outlineLevel="0" collapsed="false">
      <c r="A11" s="24" t="n">
        <v>7</v>
      </c>
      <c r="B11" s="25" t="s">
        <v>174</v>
      </c>
      <c r="C11" s="26" t="s">
        <v>175</v>
      </c>
    </row>
    <row r="12" customFormat="false" ht="48" hidden="false" customHeight="true" outlineLevel="0" collapsed="false">
      <c r="A12" s="24" t="n">
        <v>8</v>
      </c>
      <c r="B12" s="25" t="s">
        <v>176</v>
      </c>
      <c r="C12" s="26" t="s">
        <v>177</v>
      </c>
    </row>
    <row r="13" customFormat="false" ht="48" hidden="false" customHeight="true" outlineLevel="0" collapsed="false">
      <c r="A13" s="24" t="n">
        <v>9</v>
      </c>
      <c r="B13" s="25" t="s">
        <v>178</v>
      </c>
      <c r="C13" s="26" t="s">
        <v>179</v>
      </c>
    </row>
    <row r="14" customFormat="false" ht="48" hidden="false" customHeight="true" outlineLevel="0" collapsed="false">
      <c r="A14" s="24" t="n">
        <v>10</v>
      </c>
      <c r="B14" s="25" t="s">
        <v>180</v>
      </c>
      <c r="C14" s="26" t="s">
        <v>181</v>
      </c>
    </row>
    <row r="15" customFormat="false" ht="48" hidden="false" customHeight="true" outlineLevel="0" collapsed="false">
      <c r="A15" s="24" t="n">
        <v>11</v>
      </c>
      <c r="B15" s="25" t="s">
        <v>182</v>
      </c>
      <c r="C15" s="26" t="s">
        <v>183</v>
      </c>
    </row>
    <row r="16" customFormat="false" ht="48" hidden="false" customHeight="true" outlineLevel="0" collapsed="false">
      <c r="A16" s="24" t="n">
        <v>12</v>
      </c>
      <c r="B16" s="25" t="s">
        <v>184</v>
      </c>
      <c r="C16" s="26" t="s">
        <v>185</v>
      </c>
    </row>
    <row r="17" customFormat="false" ht="48" hidden="false" customHeight="true" outlineLevel="0" collapsed="false">
      <c r="A17" s="24" t="n">
        <v>13</v>
      </c>
      <c r="B17" s="25" t="s">
        <v>186</v>
      </c>
      <c r="C17" s="26" t="s">
        <v>187</v>
      </c>
    </row>
    <row r="18" customFormat="false" ht="48" hidden="false" customHeight="true" outlineLevel="0" collapsed="false">
      <c r="A18" s="24" t="n">
        <v>14</v>
      </c>
      <c r="B18" s="25" t="s">
        <v>188</v>
      </c>
      <c r="C18" s="26" t="s">
        <v>189</v>
      </c>
    </row>
    <row r="19" customFormat="false" ht="48" hidden="false" customHeight="true" outlineLevel="0" collapsed="false">
      <c r="A19" s="24" t="n">
        <v>15</v>
      </c>
      <c r="B19" s="25" t="s">
        <v>190</v>
      </c>
      <c r="C19" s="26" t="s">
        <v>191</v>
      </c>
    </row>
    <row r="20" customFormat="false" ht="48" hidden="false" customHeight="true" outlineLevel="0" collapsed="false">
      <c r="A20" s="24" t="n">
        <v>16</v>
      </c>
      <c r="B20" s="25" t="s">
        <v>192</v>
      </c>
      <c r="C20" s="26" t="s">
        <v>193</v>
      </c>
    </row>
    <row r="21" customFormat="false" ht="48" hidden="false" customHeight="true" outlineLevel="0" collapsed="false">
      <c r="A21" s="24" t="n">
        <v>17</v>
      </c>
      <c r="B21" s="25" t="s">
        <v>194</v>
      </c>
      <c r="C21" s="26" t="s">
        <v>195</v>
      </c>
    </row>
    <row r="22" customFormat="false" ht="48" hidden="false" customHeight="true" outlineLevel="0" collapsed="false">
      <c r="A22" s="24" t="n">
        <v>18</v>
      </c>
      <c r="B22" s="25" t="s">
        <v>196</v>
      </c>
      <c r="C22" s="26" t="s">
        <v>197</v>
      </c>
    </row>
    <row r="23" customFormat="false" ht="48" hidden="false" customHeight="true" outlineLevel="0" collapsed="false">
      <c r="A23" s="24" t="n">
        <v>19</v>
      </c>
      <c r="B23" s="25" t="s">
        <v>198</v>
      </c>
      <c r="C23" s="26" t="s">
        <v>199</v>
      </c>
    </row>
    <row r="24" customFormat="false" ht="48" hidden="false" customHeight="true" outlineLevel="0" collapsed="false">
      <c r="A24" s="24" t="n">
        <v>20</v>
      </c>
      <c r="B24" s="25" t="s">
        <v>200</v>
      </c>
      <c r="C24" s="26" t="s">
        <v>201</v>
      </c>
    </row>
    <row r="25" customFormat="false" ht="48" hidden="false" customHeight="true" outlineLevel="0" collapsed="false">
      <c r="A25" s="24" t="n">
        <v>21</v>
      </c>
      <c r="B25" s="25" t="s">
        <v>202</v>
      </c>
      <c r="C25" s="26" t="s">
        <v>203</v>
      </c>
    </row>
    <row r="26" customFormat="false" ht="48" hidden="false" customHeight="true" outlineLevel="0" collapsed="false">
      <c r="A26" s="24" t="n">
        <v>22</v>
      </c>
      <c r="B26" s="25" t="s">
        <v>204</v>
      </c>
      <c r="C26" s="26" t="s">
        <v>205</v>
      </c>
    </row>
    <row r="28" customFormat="false" ht="18.65" hidden="false" customHeight="false" outlineLevel="0" collapsed="false">
      <c r="B28" s="27" t="s">
        <v>206</v>
      </c>
    </row>
    <row r="29" customFormat="false" ht="19.5" hidden="false" customHeight="true" outlineLevel="0" collapsed="false">
      <c r="B29" s="25" t="s">
        <v>207</v>
      </c>
    </row>
    <row r="30" customFormat="false" ht="19.5" hidden="false" customHeight="true" outlineLevel="0" collapsed="false">
      <c r="B30" s="25" t="s">
        <v>208</v>
      </c>
    </row>
    <row r="31" customFormat="false" ht="19.5" hidden="false" customHeight="true" outlineLevel="0" collapsed="false">
      <c r="B31" s="25" t="s">
        <v>209</v>
      </c>
    </row>
    <row r="32" customFormat="false" ht="19.5" hidden="false" customHeight="true" outlineLevel="0" collapsed="false">
      <c r="B32" s="25" t="s">
        <v>210</v>
      </c>
    </row>
    <row r="33" customFormat="false" ht="19.5" hidden="false" customHeight="true" outlineLevel="0" collapsed="false">
      <c r="B33" s="25" t="s">
        <v>211</v>
      </c>
    </row>
    <row r="34" customFormat="false" ht="19.5" hidden="false" customHeight="true" outlineLevel="0" collapsed="false">
      <c r="B34" s="25" t="s">
        <v>212</v>
      </c>
    </row>
    <row r="35" customFormat="false" ht="19.5" hidden="false" customHeight="true" outlineLevel="0" collapsed="false">
      <c r="B35" s="25" t="s">
        <v>213</v>
      </c>
    </row>
    <row r="36" customFormat="false" ht="19.5" hidden="false" customHeight="true" outlineLevel="0" collapsed="false">
      <c r="B36" s="25" t="s">
        <v>214</v>
      </c>
    </row>
    <row r="37" customFormat="false" ht="19.5" hidden="false" customHeight="true" outlineLevel="0" collapsed="false">
      <c r="B37" s="25" t="s">
        <v>215</v>
      </c>
    </row>
    <row r="38" customFormat="false" ht="19.5" hidden="false" customHeight="true" outlineLevel="0" collapsed="false">
      <c r="B38" s="25" t="s">
        <v>216</v>
      </c>
    </row>
    <row r="39" customFormat="false" ht="19.5" hidden="false" customHeight="true" outlineLevel="0" collapsed="false">
      <c r="B39" s="25" t="s">
        <v>217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2026-10-26T18:23:19Z</dcterms:created>
  <dc:creator>openpyxl</dc:creator>
  <dc:description/>
  <dc:language>en-US</dc:language>
  <cp:lastModifiedBy/>
  <dcterms:modified xsi:type="dcterms:W3CDTF">2026-10-26T16:40:55Z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