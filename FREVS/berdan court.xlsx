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3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2" borderId="0" pivotButton="0" quotePrefix="0" xfId="0"/>
    <xf numFmtId="1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5" authorId="0" shapeId="0">
      <text>
        <t>Assumption that changes LOW or HIGH. Source of the starting number is in the row label.</t>
      </text>
    </commen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Berdan Court</t>
        </is>
      </c>
    </row>
    <row r="2">
      <c r="A2" s="2" t="inlineStr">
        <is>
          <t>Wayne, NJ</t>
        </is>
      </c>
    </row>
    <row r="3">
      <c r="A3" s="2" t="inlineStr">
        <is>
          <t>Photos</t>
        </is>
      </c>
      <c r="B3" s="3" t="inlineStr">
        <is>
          <t>https://www.google.com/search?tbm=isch&amp;q=Berdan+Court+Wayne+NJ+apartments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Berdan Court, LLC is wholly owned. Form 10-K Item 2, note 1.</t>
        </is>
      </c>
    </row>
    <row r="6">
      <c r="A6" s="2" t="inlineStr">
        <is>
          <t>Year acquired</t>
        </is>
      </c>
      <c r="B6" s="6" t="n">
        <v>1965</v>
      </c>
    </row>
    <row r="7">
      <c r="A7" s="2" t="inlineStr">
        <is>
          <t>Apartment units</t>
        </is>
      </c>
      <c r="B7" s="7" t="n">
        <v>176</v>
      </c>
    </row>
    <row r="8">
      <c r="A8" s="2" t="inlineStr">
        <is>
          <t>Average annual occupancy, year ended October 31, 2025</t>
        </is>
      </c>
      <c r="B8" s="8" t="n">
        <v>0.959</v>
      </c>
    </row>
    <row r="9">
      <c r="A9" s="2" t="inlineStr">
        <is>
          <t>Average monthly rent per unit at October 31, 2025</t>
        </is>
      </c>
      <c r="B9" s="7" t="n">
        <v>2431</v>
      </c>
    </row>
    <row r="10">
      <c r="A10" s="2" t="inlineStr">
        <is>
          <t>In-place annual rent</t>
        </is>
      </c>
      <c r="B10" s="9">
        <f>B7*B9*12*B8</f>
        <v/>
      </c>
      <c r="C10" s="5" t="inlineStr">
        <is>
          <t>Units × monthly rent × 12 × occupancy. Both rent and occupancy are the Item 2 figures.</t>
        </is>
      </c>
    </row>
    <row r="12" ht="20" customHeight="1">
      <c r="A12" s="10" t="inlineStr">
        <is>
          <t>NOI estimate</t>
        </is>
      </c>
      <c r="B12" s="11" t="n"/>
      <c r="C12" s="11" t="n"/>
      <c r="D12" s="11" t="n"/>
      <c r="E12" s="11" t="n"/>
      <c r="F12" s="11" t="n"/>
    </row>
    <row r="13">
      <c r="A13" s="2" t="inlineStr">
        <is>
          <t>Residential segment operating expenses, nine months ended July 31, 2026</t>
        </is>
      </c>
      <c r="B13" s="7" t="n">
        <v>7082000</v>
      </c>
      <c r="C13" s="5" t="inlineStr">
        <is>
          <t>Form 10-Q Note 8. Consolidated residential segment, six properties. Pierre Towers is not in this segment.</t>
        </is>
      </c>
    </row>
    <row r="14">
      <c r="A14" s="2" t="inlineStr">
        <is>
          <t>Residential segment real estate rental revenue, same period</t>
        </is>
      </c>
      <c r="B14" s="7" t="n">
        <v>16797000</v>
      </c>
    </row>
    <row r="15">
      <c r="A15" s="2" t="inlineStr">
        <is>
          <t>Expense ratio used for this property</t>
        </is>
      </c>
      <c r="B15" s="12">
        <f>B13/B14</f>
        <v/>
      </c>
      <c r="C15" s="5" t="inlineStr">
        <is>
          <t>Segment expenses ÷ segment revenue. Not this property's own ratio. Yellow cells are assumptions.</t>
        </is>
      </c>
    </row>
    <row r="16">
      <c r="A16" s="2" t="inlineStr">
        <is>
          <t>Estimated NOI</t>
        </is>
      </c>
      <c r="B16" s="9">
        <f>B10*(1-B15)</f>
        <v/>
      </c>
      <c r="C16" s="5" t="inlineStr">
        <is>
          <t>In-place rent × (1 − expense ratio). NOI for this property is not in the filings.</t>
        </is>
      </c>
    </row>
    <row r="18" ht="20" customHeight="1">
      <c r="A18" s="10" t="inlineStr">
        <is>
          <t>Cap rates</t>
        </is>
      </c>
      <c r="B18" s="11" t="n"/>
      <c r="C18" s="11" t="n"/>
      <c r="D18" s="11" t="n"/>
      <c r="E18" s="11" t="n"/>
      <c r="F18" s="11" t="n"/>
    </row>
    <row r="19">
      <c r="A19" s="2" t="inlineStr">
        <is>
          <t>LOW cap rate</t>
        </is>
      </c>
      <c r="B19" s="12" t="n">
        <v>0.055</v>
      </c>
      <c r="C19" s="5" t="inlineStr">
        <is>
          <t>Same labeled LOW cap rate as the brooks.xlsx (5.5% row).</t>
        </is>
      </c>
    </row>
    <row r="20">
      <c r="A20" s="2" t="inlineStr">
        <is>
          <t>HIGH cap rate</t>
        </is>
      </c>
      <c r="B20" s="12" t="n">
        <v>0.05</v>
      </c>
      <c r="C20" s="5" t="inlineStr">
        <is>
          <t>Same labeled HIGH cap rate as the brooks.xlsx (5.0% row). A lower cap rate is the higher value.</t>
        </is>
      </c>
    </row>
    <row r="21">
      <c r="A21" s="2" t="inlineStr">
        <is>
          <t>AIV multifamily cap rate, reference only</t>
        </is>
      </c>
      <c r="B21" s="8" t="n">
        <v>0.056</v>
      </c>
      <c r="C21" s="5" t="inlineStr">
        <is>
          <t>upton place - Valuation.xlsx says: Use 5.6% for multifamily.</t>
        </is>
      </c>
    </row>
    <row r="22">
      <c r="A22" s="2" t="inlineStr">
        <is>
          <t>Proxy blended cap rate, reference only</t>
        </is>
      </c>
      <c r="B22" s="8" t="n">
        <v>0.0563</v>
      </c>
      <c r="C22" s="5" t="inlineStr">
        <is>
          <t>DEFM14A August 4, 2026: 5.63% blended on properties not under a sales contract.</t>
        </is>
      </c>
    </row>
    <row r="24" ht="20" customHeight="1">
      <c r="A24" s="10" t="inlineStr">
        <is>
          <t>Book and debt</t>
        </is>
      </c>
      <c r="B24" s="11" t="n"/>
      <c r="C24" s="11" t="n"/>
      <c r="D24" s="11" t="n"/>
      <c r="E24" s="11" t="n"/>
      <c r="F24" s="11" t="n"/>
    </row>
    <row r="25">
      <c r="A25" s="2" t="inlineStr">
        <is>
          <t>Book carrying value, 100% of the property</t>
        </is>
      </c>
      <c r="B25" s="7" t="n">
        <v>1310000</v>
      </c>
      <c r="C25" s="5" t="inlineStr">
        <is>
          <t>Schedule III net: gross $7,812,000 minus depreciation $6,502,000. Item 2 shows the same $1,310,000. October 31, 2025.</t>
        </is>
      </c>
    </row>
    <row r="26">
      <c r="A26" s="2" t="inlineStr">
        <is>
          <t>Mortgage principal, 100% of the property</t>
        </is>
      </c>
      <c r="B26" s="7" t="n">
        <v>27771000</v>
      </c>
      <c r="C26" s="5" t="inlineStr">
        <is>
          <t>Form 10-Q Note 7, July 31, 2026. Fixed 3.54%.</t>
        </is>
      </c>
    </row>
    <row r="27">
      <c r="A27" s="2" t="inlineStr">
        <is>
          <t>Interest rate at July 31, 2026</t>
        </is>
      </c>
      <c r="B27" s="8" t="n">
        <v>0.0354</v>
      </c>
    </row>
    <row r="28">
      <c r="A28" s="2" t="inlineStr">
        <is>
          <t>Maturity</t>
        </is>
      </c>
      <c r="B28" s="2" t="inlineStr">
        <is>
          <t>2029-09-01</t>
        </is>
      </c>
    </row>
    <row r="29">
      <c r="A29" s="2" t="inlineStr">
        <is>
          <t>Book equity, carrying value minus mortgage</t>
        </is>
      </c>
      <c r="B29" s="9">
        <f>B25-B26</f>
        <v/>
      </c>
      <c r="C29" s="5" t="inlineStr">
        <is>
          <t>Negative book equity means the mortgage exceeds depreciated cost. The cap-rate value is independent of that cost.</t>
        </is>
      </c>
    </row>
    <row r="31" ht="20" customHeight="1">
      <c r="A31" s="10" t="inlineStr">
        <is>
          <t>Valuation</t>
        </is>
      </c>
      <c r="B31" s="11" t="n"/>
      <c r="C31" s="11" t="n"/>
      <c r="D31" s="11" t="n"/>
      <c r="E31" s="11" t="n"/>
      <c r="F31" s="11" t="n"/>
    </row>
    <row r="32" ht="32" customHeight="1">
      <c r="A32" s="13" t="inlineStr">
        <is>
          <t>Scenario</t>
        </is>
      </c>
      <c r="B32" s="13" t="inlineStr">
        <is>
          <t>Cap rate</t>
        </is>
      </c>
      <c r="C32" s="13" t="inlineStr">
        <is>
          <t>Value</t>
        </is>
      </c>
      <c r="D32" s="13" t="inlineStr">
        <is>
          <t>Premium to book</t>
        </is>
      </c>
      <c r="E32" s="13" t="inlineStr">
        <is>
          <t>Role</t>
        </is>
      </c>
    </row>
    <row r="33">
      <c r="A33" s="2" t="inlineStr">
        <is>
          <t>LOW, 5.5%</t>
        </is>
      </c>
      <c r="B33" s="8">
        <f>B19</f>
        <v/>
      </c>
      <c r="C33" s="9">
        <f>$B$16/B33</f>
        <v/>
      </c>
      <c r="D33" s="14">
        <f>C33/$B$25-1</f>
        <v/>
      </c>
      <c r="E33" s="5" t="inlineStr">
        <is>
          <t>LOW</t>
        </is>
      </c>
    </row>
    <row r="34">
      <c r="A34" s="2" t="inlineStr">
        <is>
          <t>HIGH, 5.0%</t>
        </is>
      </c>
      <c r="B34" s="8">
        <f>B20</f>
        <v/>
      </c>
      <c r="C34" s="9">
        <f>$B$16/B34</f>
        <v/>
      </c>
      <c r="D34" s="14">
        <f>C34/$B$25-1</f>
        <v/>
      </c>
      <c r="E34" s="5" t="inlineStr">
        <is>
          <t>HIGH</t>
        </is>
      </c>
    </row>
    <row r="35">
      <c r="A35" s="2" t="inlineStr">
        <is>
          <t>Reference, 5.6% AIV</t>
        </is>
      </c>
      <c r="B35" s="8">
        <f>B21</f>
        <v/>
      </c>
      <c r="C35" s="9">
        <f>$B$16/B35</f>
        <v/>
      </c>
      <c r="D35" s="14">
        <f>C35/$B$25-1</f>
        <v/>
      </c>
      <c r="E35" s="5" t="inlineStr">
        <is>
          <t>reference, not used for LOW or HIGH</t>
        </is>
      </c>
    </row>
    <row r="36">
      <c r="A36" s="2" t="inlineStr">
        <is>
          <t>Reference, 5.63% proxy</t>
        </is>
      </c>
      <c r="B36" s="8">
        <f>B22</f>
        <v/>
      </c>
      <c r="C36" s="9">
        <f>$B$16/B36</f>
        <v/>
      </c>
      <c r="D36" s="14">
        <f>C36/$B$25-1</f>
        <v/>
      </c>
      <c r="E36" s="5" t="inlineStr">
        <is>
          <t>reference, not used for LOW or HIGH</t>
        </is>
      </c>
    </row>
    <row r="37">
      <c r="A37" s="2" t="inlineStr">
        <is>
          <t>Book carrying value</t>
        </is>
      </c>
      <c r="C37" s="7">
        <f>B25</f>
        <v/>
      </c>
      <c r="D37" s="14" t="n">
        <v>0</v>
      </c>
      <c r="E37" s="5" t="inlineStr">
        <is>
          <t>BOOK</t>
        </is>
      </c>
    </row>
    <row r="39" ht="72" customHeight="1">
      <c r="A39" s="15" t="inlineStr">
        <is>
          <t>Berdan Court was 15.9% of consolidated revenue in fiscal 2025 (Form 10-K Item 2). The mortgage is far above depreciated cost because the 1965 building is largely depreciated. The cap-rate value does not use that cost.</t>
        </is>
      </c>
    </row>
    <row r="40" ht="64" customHeight="1">
      <c r="A40" s="15" t="inlineStr">
        <is>
          <t>Value = estimated NOI ÷ cap rate, before depreciation and before the mortgage. That is the same relationship as the brooks.xlsx (NOI divided by the cap rate) and as upton place - Valuation.xlsx. LOW uses 5.5% and HIGH uses 5.0%, the rows labeled LOW and HIGH on the brooks.xlsx. The 5.6% and 5.63% rows are shown and are not the LOW or HIGH that the investment case reads. Operating expense is the residential segment ratio, because this property's own expenses are not disclosed.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s="18">
        <f>B5</f>
        <v/>
      </c>
    </row>
    <row r="102">
      <c r="A102" s="17" t="inlineStr">
        <is>
          <t>Book carrying value</t>
        </is>
      </c>
      <c r="B102" s="19">
        <f>B25</f>
        <v/>
      </c>
    </row>
    <row r="103">
      <c r="A103" s="17" t="inlineStr">
        <is>
          <t>LOW</t>
        </is>
      </c>
      <c r="B103" s="19">
        <f>C33</f>
        <v/>
      </c>
    </row>
    <row r="104">
      <c r="A104" s="17" t="inlineStr">
        <is>
          <t>HIGH</t>
        </is>
      </c>
      <c r="B104" s="19">
        <f>C34</f>
        <v/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s="19">
        <f>B26</f>
        <v/>
      </c>
    </row>
    <row r="107">
      <c r="A107" s="17" t="inlineStr">
        <is>
          <t>NOI used</t>
        </is>
      </c>
      <c r="B107" s="19">
        <f>B16</f>
        <v/>
      </c>
    </row>
    <row r="108">
      <c r="A108" s="17" t="inlineStr">
        <is>
          <t>Method</t>
        </is>
      </c>
      <c r="B108" s="21" t="inlineStr">
        <is>
          <t>Method: in-place rent × (1 − residential segment expense ratio), divided by the brooks.xlsx 5.5% / 5.0% cap rates. NOI is not filed for this property.</t>
        </is>
      </c>
    </row>
  </sheetData>
  <mergeCells count="7">
    <mergeCell ref="A24:F24"/>
    <mergeCell ref="A31:F31"/>
    <mergeCell ref="A40:F40"/>
    <mergeCell ref="A12:F12"/>
    <mergeCell ref="A18:F18"/>
    <mergeCell ref="A100:F100"/>
    <mergeCell ref="A39:F39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