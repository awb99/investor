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FREVS model</author>
  </authors>
  <commentList>
    <comment ref="B15" authorId="0">
      <text>
        <r>
          <rPr>
            <sz val="10"/>
            <rFont val="Arial"/>
            <family val="2"/>
          </rPr>
          <t xml:space="preserve">Assumption that changes LOW or HIGH. Source of the starting number is in the row label.</t>
        </r>
      </text>
    </comment>
    <comment ref="B19" authorId="0">
      <text>
        <r>
          <rPr>
            <sz val="10"/>
            <rFont val="Arial"/>
            <family val="2"/>
          </rPr>
          <t xml:space="preserve">Assumption that changes LOW or HIGH. Source of the starting number is in the row label.</t>
        </r>
      </text>
    </comment>
    <comment ref="B20" authorId="0">
      <text>
        <r>
          <rPr>
            <sz val="10"/>
            <rFont val="Arial"/>
            <family val="2"/>
          </rPr>
          <t xml:space="preserve">Assumption that changes LOW or HIGH. Source of the starting number is in the row label.</t>
        </r>
      </text>
    </comment>
  </commentList>
</comments>
</file>

<file path=xl/sharedStrings.xml><?xml version="1.0" encoding="utf-8"?>
<sst xmlns="http://schemas.openxmlformats.org/spreadsheetml/2006/main" count="67" uniqueCount="63">
  <si>
    <t xml:space="preserve">Berdan Court</t>
  </si>
  <si>
    <t xml:space="preserve">Wayne, NJ</t>
  </si>
  <si>
    <t xml:space="preserve">Photos</t>
  </si>
  <si>
    <t xml:space="preserve">https://www.google.com/search?tbm=isch&amp;q=Berdan+Court+Wayne+NJ+apartments</t>
  </si>
  <si>
    <t xml:space="preserve">FREIT ownership</t>
  </si>
  <si>
    <t xml:space="preserve">100%. Berdan Court, LLC is wholly owned. Form 10-K Item 2, note 1.</t>
  </si>
  <si>
    <t xml:space="preserve">Year acquired</t>
  </si>
  <si>
    <t xml:space="preserve">Apartment units</t>
  </si>
  <si>
    <t xml:space="preserve">Average annual occupancy, year ended October 31, 2025</t>
  </si>
  <si>
    <t xml:space="preserve">Average monthly rent per unit at October 31, 2025</t>
  </si>
  <si>
    <t xml:space="preserve">In-place annual rent</t>
  </si>
  <si>
    <t xml:space="preserve">Units × monthly rent × 12 × occupancy. Both rent and occupancy are the Item 2 figures.</t>
  </si>
  <si>
    <t xml:space="preserve">NOI estimate</t>
  </si>
  <si>
    <t xml:space="preserve">Residential segment operating expenses, nine months ended July 31, 2026</t>
  </si>
  <si>
    <t xml:space="preserve">Form 10-Q Note 8. Consolidated residential segment, six properties. Pierre Towers is not in this segment.</t>
  </si>
  <si>
    <t xml:space="preserve">Residential segment real estate rental revenue, same period</t>
  </si>
  <si>
    <t xml:space="preserve">Expense ratio used for this property</t>
  </si>
  <si>
    <t xml:space="preserve">Segment expenses ÷ segment revenue. Not this property's own ratio. Yellow cells are assumptions.</t>
  </si>
  <si>
    <t xml:space="preserve">Estimated NOI</t>
  </si>
  <si>
    <t xml:space="preserve">In-place rent × (1 − expense ratio). NOI for this property is not in the filings.</t>
  </si>
  <si>
    <t xml:space="preserve">Cap rates</t>
  </si>
  <si>
    <t xml:space="preserve">LOW cap rate</t>
  </si>
  <si>
    <t xml:space="preserve">LOW cap rate is 6.0%, widened from the brooks.xlsx 5.5% row.</t>
  </si>
  <si>
    <t xml:space="preserve">HIGH cap rate</t>
  </si>
  <si>
    <t xml:space="preserve">Same labeled HIGH cap rate as the brooks.xlsx (5.0% row). A lower cap rate is the higher value.</t>
  </si>
  <si>
    <t xml:space="preserve">AIV multifamily cap rate, reference only</t>
  </si>
  <si>
    <t xml:space="preserve">upton place - Valuation.xlsx says: Use 5.6% for multifamily.</t>
  </si>
  <si>
    <t xml:space="preserve">Proxy blended cap rate, reference only</t>
  </si>
  <si>
    <t xml:space="preserve">DEFM14A August 4, 2026: 5.63% blended on properties not under a sales contract.</t>
  </si>
  <si>
    <t xml:space="preserve">Book and debt</t>
  </si>
  <si>
    <t xml:space="preserve">Book carrying value, 100% of the property</t>
  </si>
  <si>
    <t xml:space="preserve">Schedule III net: gross $7,812,000 minus depreciation $6,502,000. Item 2 shows the same $1,310,000. October 31, 2025.</t>
  </si>
  <si>
    <t xml:space="preserve">Mortgage principal, 100% of the property</t>
  </si>
  <si>
    <t xml:space="preserve">Form 10-Q Note 7, July 31, 2026. Fixed 3.54%.</t>
  </si>
  <si>
    <t xml:space="preserve">Interest rate at July 31, 2026</t>
  </si>
  <si>
    <t xml:space="preserve">Maturity</t>
  </si>
  <si>
    <t xml:space="preserve">2029-09-01</t>
  </si>
  <si>
    <t xml:space="preserve">Book equity, carrying value minus mortgage</t>
  </si>
  <si>
    <t xml:space="preserve">Negative book equity means the mortgage exceeds depreciated cost. The cap-rate value is independent of that cost.</t>
  </si>
  <si>
    <t xml:space="preserve">Valuation</t>
  </si>
  <si>
    <t xml:space="preserve">Scenario</t>
  </si>
  <si>
    <t xml:space="preserve">Cap rate</t>
  </si>
  <si>
    <t xml:space="preserve">Value</t>
  </si>
  <si>
    <t xml:space="preserve">Premium to book</t>
  </si>
  <si>
    <t xml:space="preserve">Role</t>
  </si>
  <si>
    <t xml:space="preserve">LOW, 6.0%</t>
  </si>
  <si>
    <t xml:space="preserve">LOW</t>
  </si>
  <si>
    <t xml:space="preserve">HIGH, 5.0%</t>
  </si>
  <si>
    <t xml:space="preserve">HIGH</t>
  </si>
  <si>
    <t xml:space="preserve">Reference, 5.6% AIV</t>
  </si>
  <si>
    <t xml:space="preserve">reference, not used for LOW or HIGH</t>
  </si>
  <si>
    <t xml:space="preserve">Reference, 5.63% proxy</t>
  </si>
  <si>
    <t xml:space="preserve">Book carrying value</t>
  </si>
  <si>
    <t xml:space="preserve">BOOK</t>
  </si>
  <si>
    <t xml:space="preserve">Berdan Court was 15.9% of consolidated revenue in fiscal 2025 (Form 10-K Item 2). The mortgage is far above depreciated cost because the 1965 building is largely depreciated. The cap-rate value does not use that cost.</t>
  </si>
  <si>
    <t xml:space="preserve">Value = estimated NOI ÷ cap rate, before depreciation and before the mortgage. That is the same relationship as the brooks.xlsx (NOI divided by the cap rate) and as upton place - Valuation.xlsx. LOW uses 6.0%, widened from the brooks.xlsx 5.5% row, and HIGH uses 5.0%, the HIGH row on the brooks.xlsx. The 5.6% and 5.63% rows are shown and are not the LOW or HIGH that the investment case reads. Operating expense is the residential segment ratio, because this property's own expenses are not disclosed.</t>
  </si>
  <si>
    <t xml:space="preserve">Outputs read by investment-case.xlsx. Dollars, 100% of the property. Do not move these rows.</t>
  </si>
  <si>
    <t xml:space="preserve">Ownership</t>
  </si>
  <si>
    <t xml:space="preserve">Estimate flag (1 = use LOW/HIGH, 0 = leave blank and hold at book)</t>
  </si>
  <si>
    <t xml:space="preserve">Mortgage</t>
  </si>
  <si>
    <t xml:space="preserve">NOI used</t>
  </si>
  <si>
    <t xml:space="preserve">Method</t>
  </si>
  <si>
    <t xml:space="preserve">Method: in-place rent × (1 − residential segment expense ratio), divided by a 6.0% LOW cap rate and the brooks.xlsx 5.0% HIGH cap rate. NOI is not filed for this property.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</si>
</sst>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0"/>
    <numFmt numFmtId="167" formatCode="#,##0"/>
    <numFmt numFmtId="168" formatCode="0.00%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Calibri"/>
      <family val="0"/>
      <charset val="1"/>
    </font>
    <font>
      <sz val="11"/>
      <name val="Calibri"/>
      <family val="0"/>
      <charset val="1"/>
    </font>
    <font>
      <u val="single"/>
      <sz val="11"/>
      <color rgb="FF0563C1"/>
      <name val="Calibri"/>
      <family val="0"/>
      <charset val="1"/>
    </font>
    <font>
      <sz val="1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3"/>
      <color rgb="FF1F4E79"/>
      <name val="Calibri"/>
      <family val="0"/>
      <charset val="1"/>
    </font>
    <font>
      <sz val="11"/>
      <name val="&lt;openpyxl.styles.fills.PatternFill object&gt;&#10;Parameters:&#10;patternType='solid', fgColor=&lt;openpyxl.styles.colors.Color object&gt;&#10;Parameters:&#10;rgb='00FFF2CC', indexed=None, auto=None, theme=None, tint=0.0, type='rgb', bgColor=&lt;openpyxl.styles.colors.Color object&gt;&#10;Parameters:&#10;rgb='00000000', indexed=None, auto=None, theme=None, tint=0.0, type='rgb'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333333"/>
      <name val="Calibri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6DCE4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2EFDA"/>
        <bgColor rgb="FFD6DC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8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4" topLeftCell="A31" activePane="bottomLeft" state="frozen"/>
      <selection pane="topLeft" activeCell="A1" activeCellId="0" sqref="A1"/>
      <selection pane="bottomLeft" activeCell="C33" activeCellId="0" sqref="C33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68.86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8"/>
    <col collapsed="false" customWidth="true" hidden="false" outlineLevel="0" max="6" min="6" style="0" width="42"/>
  </cols>
  <sheetData>
    <row r="1" customFormat="false" ht="24" hidden="false" customHeight="true" outlineLevel="0" collapsed="false">
      <c r="A1" s="1" t="s">
        <v>0</v>
      </c>
    </row>
    <row r="2" customFormat="false" ht="16.4" hidden="false" customHeight="false" outlineLevel="0" collapsed="false">
      <c r="A2" s="2" t="s">
        <v>1</v>
      </c>
    </row>
    <row r="3" customFormat="false" ht="22.35" hidden="false" customHeight="true" outlineLevel="0" collapsed="false">
      <c r="A3" s="2" t="s">
        <v>2</v>
      </c>
      <c r="B3" s="3" t="s">
        <v>3</v>
      </c>
      <c r="C3" s="3"/>
      <c r="D3" s="3"/>
      <c r="E3" s="3"/>
      <c r="F3" s="3"/>
    </row>
    <row r="5" customFormat="false" ht="41.75" hidden="false" customHeight="false" outlineLevel="0" collapsed="false">
      <c r="A5" s="2" t="s">
        <v>4</v>
      </c>
      <c r="B5" s="4" t="n">
        <v>1</v>
      </c>
      <c r="C5" s="5" t="s">
        <v>5</v>
      </c>
    </row>
    <row r="6" customFormat="false" ht="16.4" hidden="false" customHeight="false" outlineLevel="0" collapsed="false">
      <c r="A6" s="2" t="s">
        <v>6</v>
      </c>
      <c r="B6" s="6" t="n">
        <v>1965</v>
      </c>
    </row>
    <row r="7" customFormat="false" ht="16.4" hidden="false" customHeight="false" outlineLevel="0" collapsed="false">
      <c r="A7" s="2" t="s">
        <v>7</v>
      </c>
      <c r="B7" s="7" t="n">
        <v>176</v>
      </c>
    </row>
    <row r="8" customFormat="false" ht="16.4" hidden="false" customHeight="false" outlineLevel="0" collapsed="false">
      <c r="A8" s="2" t="s">
        <v>8</v>
      </c>
      <c r="B8" s="8" t="n">
        <v>0.959</v>
      </c>
    </row>
    <row r="9" customFormat="false" ht="16.4" hidden="false" customHeight="false" outlineLevel="0" collapsed="false">
      <c r="A9" s="2" t="s">
        <v>9</v>
      </c>
      <c r="B9" s="7" t="n">
        <v>2431</v>
      </c>
    </row>
    <row r="10" customFormat="false" ht="25.1" hidden="false" customHeight="true" outlineLevel="0" collapsed="false">
      <c r="A10" s="2" t="s">
        <v>10</v>
      </c>
      <c r="B10" t="n" s="9">
        <f aca="false">B7*B9*12*B8</f>
        <v>4923766.8480000002</v>
      </c>
      <c r="C10" s="5" t="s">
        <v>11</v>
      </c>
      <c r="D10" s="5"/>
      <c r="E10" s="5"/>
      <c r="F10" s="5"/>
    </row>
    <row r="12" customFormat="false" ht="19.5" hidden="false" customHeight="true" outlineLevel="0" collapsed="false">
      <c r="A12" s="10" t="s">
        <v>12</v>
      </c>
      <c r="B12" s="10"/>
      <c r="C12" s="10"/>
      <c r="D12" s="10"/>
      <c r="E12" s="10"/>
      <c r="F12" s="10"/>
    </row>
    <row r="13" customFormat="false" ht="23.7" hidden="false" customHeight="true" outlineLevel="0" collapsed="false">
      <c r="A13" s="2" t="s">
        <v>13</v>
      </c>
      <c r="B13" s="7" t="n">
        <v>7082000</v>
      </c>
      <c r="C13" s="5" t="s">
        <v>14</v>
      </c>
      <c r="D13" s="5"/>
      <c r="E13" s="5"/>
      <c r="F13" s="5"/>
    </row>
    <row r="14" customFormat="false" ht="16.4" hidden="false" customHeight="false" outlineLevel="0" collapsed="false">
      <c r="A14" s="2" t="s">
        <v>15</v>
      </c>
      <c r="B14" s="7" t="n">
        <v>16797000</v>
      </c>
    </row>
    <row r="15" customFormat="false" ht="21.7" hidden="false" customHeight="true" outlineLevel="0" collapsed="false">
      <c r="A15" s="2" t="s">
        <v>16</v>
      </c>
      <c r="B15" t="n" s="11">
        <f aca="false">B13/B14</f>
        <v>0.4216229089</v>
      </c>
      <c r="C15" s="5" t="s">
        <v>17</v>
      </c>
      <c r="D15" s="5"/>
      <c r="E15" s="5"/>
      <c r="F15" s="5"/>
    </row>
    <row r="16" customFormat="false" ht="16.25" hidden="false" customHeight="true" outlineLevel="0" collapsed="false">
      <c r="A16" s="2" t="s">
        <v>18</v>
      </c>
      <c r="B16" t="n" s="9">
        <f aca="false">B10*(1-B15)</f>
        <v>2847793.9470333988</v>
      </c>
      <c r="C16" s="5" t="s">
        <v>19</v>
      </c>
      <c r="D16" s="5"/>
      <c r="E16" s="5"/>
      <c r="F16" s="5"/>
    </row>
    <row r="18" customFormat="false" ht="19.5" hidden="false" customHeight="true" outlineLevel="0" collapsed="false">
      <c r="A18" s="10" t="s">
        <v>20</v>
      </c>
      <c r="B18" s="10"/>
      <c r="C18" s="10"/>
      <c r="D18" s="10"/>
      <c r="E18" s="10"/>
      <c r="F18" s="10"/>
    </row>
    <row r="19" customFormat="false" ht="19.65" hidden="false" customHeight="true" outlineLevel="0" collapsed="false">
      <c r="A19" s="2" t="s">
        <v>21</v>
      </c>
      <c r="B19" s="11" t="n">
        <v>0.06</v>
      </c>
      <c r="C19" s="5" t="s">
        <v>22</v>
      </c>
      <c r="D19" s="5"/>
      <c r="E19" s="5"/>
    </row>
    <row r="20" customFormat="false" ht="19.65" hidden="false" customHeight="true" outlineLevel="0" collapsed="false">
      <c r="A20" s="2" t="s">
        <v>23</v>
      </c>
      <c r="B20" s="11" t="n">
        <v>0.05</v>
      </c>
      <c r="C20" s="5" t="s">
        <v>24</v>
      </c>
      <c r="D20" s="5"/>
      <c r="E20" s="5"/>
      <c r="F20" s="5"/>
    </row>
    <row r="21" customFormat="false" ht="19.65" hidden="false" customHeight="true" outlineLevel="0" collapsed="false">
      <c r="A21" s="2" t="s">
        <v>25</v>
      </c>
      <c r="B21" s="8" t="n">
        <v>0.056</v>
      </c>
      <c r="C21" s="5" t="s">
        <v>26</v>
      </c>
      <c r="D21" s="5"/>
      <c r="E21" s="5"/>
      <c r="F21" s="5"/>
    </row>
    <row r="22" customFormat="false" ht="19.65" hidden="false" customHeight="true" outlineLevel="0" collapsed="false">
      <c r="A22" s="2" t="s">
        <v>27</v>
      </c>
      <c r="B22" s="8" t="n">
        <v>0.0563</v>
      </c>
      <c r="C22" s="5" t="s">
        <v>28</v>
      </c>
      <c r="D22" s="5"/>
      <c r="E22" s="5"/>
      <c r="F22" s="5"/>
    </row>
    <row r="24" customFormat="false" ht="19.5" hidden="false" customHeight="true" outlineLevel="0" collapsed="false">
      <c r="A24" s="10" t="s">
        <v>29</v>
      </c>
      <c r="B24" s="10"/>
      <c r="C24" s="10"/>
      <c r="D24" s="10"/>
      <c r="E24" s="10"/>
      <c r="F24" s="10"/>
    </row>
    <row r="25" customFormat="false" ht="23.7" hidden="false" customHeight="true" outlineLevel="0" collapsed="false">
      <c r="A25" s="2" t="s">
        <v>30</v>
      </c>
      <c r="B25" s="7" t="n">
        <v>1310000</v>
      </c>
      <c r="C25" s="5" t="s">
        <v>31</v>
      </c>
      <c r="D25" s="5"/>
      <c r="E25" s="5"/>
      <c r="F25" s="5"/>
    </row>
    <row r="26" customFormat="false" ht="19.65" hidden="false" customHeight="true" outlineLevel="0" collapsed="false">
      <c r="A26" s="2" t="s">
        <v>32</v>
      </c>
      <c r="B26" s="7" t="n">
        <v>27771000</v>
      </c>
      <c r="C26" s="5" t="s">
        <v>33</v>
      </c>
      <c r="D26" s="5"/>
      <c r="E26" s="5"/>
      <c r="F26" s="5"/>
    </row>
    <row r="27" customFormat="false" ht="16.4" hidden="false" customHeight="false" outlineLevel="0" collapsed="false">
      <c r="A27" s="2" t="s">
        <v>34</v>
      </c>
      <c r="B27" s="8" t="n">
        <v>0.0354</v>
      </c>
    </row>
    <row r="28" customFormat="false" ht="16.4" hidden="false" customHeight="false" outlineLevel="0" collapsed="false">
      <c r="A28" s="2" t="s">
        <v>35</v>
      </c>
      <c r="B28" s="2" t="s">
        <v>36</v>
      </c>
    </row>
    <row r="29" customFormat="false" ht="26.45" hidden="false" customHeight="true" outlineLevel="0" collapsed="false">
      <c r="A29" s="2" t="s">
        <v>37</v>
      </c>
      <c r="B29" s="9" t="n">
        <f aca="false">B25-B26</f>
        <v>-26461000</v>
      </c>
      <c r="C29" s="5" t="s">
        <v>38</v>
      </c>
      <c r="D29" s="5"/>
      <c r="E29" s="5"/>
      <c r="F29" s="5"/>
    </row>
    <row r="31" customFormat="false" ht="19.5" hidden="false" customHeight="true" outlineLevel="0" collapsed="false">
      <c r="A31" s="10" t="s">
        <v>39</v>
      </c>
      <c r="B31" s="10"/>
      <c r="C31" s="10"/>
      <c r="D31" s="10"/>
      <c r="E31" s="10"/>
      <c r="F31" s="10"/>
    </row>
    <row r="32" customFormat="false" ht="31.5" hidden="false" customHeight="true" outlineLevel="0" collapsed="false">
      <c r="A32" s="12" t="s">
        <v>40</v>
      </c>
      <c r="B32" s="12" t="s">
        <v>41</v>
      </c>
      <c r="C32" s="12" t="s">
        <v>42</v>
      </c>
      <c r="D32" s="12" t="s">
        <v>43</v>
      </c>
      <c r="E32" s="12" t="s">
        <v>44</v>
      </c>
    </row>
    <row r="33" customFormat="false" ht="16.4" hidden="false" customHeight="false" outlineLevel="0" collapsed="false">
      <c r="A33" s="2" t="s">
        <v>45</v>
      </c>
      <c r="B33" t="n" s="8">
        <f aca="false">B19</f>
        <v>0.06</v>
      </c>
      <c r="C33" t="n" s="9">
        <f aca="false">$B$16/B33</f>
        <v>47463232.4505566508</v>
      </c>
      <c r="D33" t="n" s="13">
        <f aca="false">C33/$B$25-1</f>
        <v>35.2314751531</v>
      </c>
      <c r="E33" s="5" t="s">
        <v>46</v>
      </c>
    </row>
    <row r="34" customFormat="false" ht="16.4" hidden="false" customHeight="false" outlineLevel="0" collapsed="false">
      <c r="A34" s="2" t="s">
        <v>47</v>
      </c>
      <c r="B34" s="8" t="n">
        <f aca="false">B20</f>
        <v>0.05</v>
      </c>
      <c r="C34" t="n" s="9">
        <f aca="false">$B$16/B34</f>
        <v>56955878.940667972</v>
      </c>
      <c r="D34" t="n" s="13">
        <f aca="false">C34/$B$25-1</f>
        <v>42.4777701837</v>
      </c>
      <c r="E34" s="5" t="s">
        <v>48</v>
      </c>
    </row>
    <row r="35" customFormat="false" ht="28.35" hidden="false" customHeight="false" outlineLevel="0" collapsed="false">
      <c r="A35" s="2" t="s">
        <v>49</v>
      </c>
      <c r="B35" s="8" t="n">
        <f aca="false">B21</f>
        <v>0.056</v>
      </c>
      <c r="C35" s="9" t="n">
        <f aca="false">$B$16/B35</f>
        <v>50853463.3398821</v>
      </c>
      <c r="D35" s="13" t="n">
        <f aca="false">C35/$B$25-1</f>
        <v>37.8194376640322</v>
      </c>
      <c r="E35" s="5" t="s">
        <v>50</v>
      </c>
    </row>
    <row r="36" customFormat="false" ht="28.35" hidden="false" customHeight="false" outlineLevel="0" collapsed="false">
      <c r="A36" s="2" t="s">
        <v>51</v>
      </c>
      <c r="B36" s="8" t="n">
        <f aca="false">B22</f>
        <v>0.0563</v>
      </c>
      <c r="C36" s="9" t="n">
        <f aca="false">$B$16/B36</f>
        <v>50582485.7377158</v>
      </c>
      <c r="D36" s="13" t="n">
        <f aca="false">C36/$B$25-1</f>
        <v>37.6125845326075</v>
      </c>
      <c r="E36" s="5" t="s">
        <v>50</v>
      </c>
    </row>
    <row r="37" customFormat="false" ht="16.4" hidden="false" customHeight="false" outlineLevel="0" collapsed="false">
      <c r="A37" s="2" t="s">
        <v>52</v>
      </c>
      <c r="C37" s="7" t="n">
        <f aca="false">B25</f>
        <v>1310000</v>
      </c>
      <c r="D37" s="13" t="n">
        <v>0</v>
      </c>
      <c r="E37" s="5" t="s">
        <v>53</v>
      </c>
    </row>
    <row r="39" customFormat="false" ht="72" hidden="false" customHeight="true" outlineLevel="0" collapsed="false">
      <c r="A39" s="14" t="s">
        <v>54</v>
      </c>
      <c r="B39" s="14"/>
      <c r="C39" s="14"/>
      <c r="D39" s="14"/>
      <c r="E39" s="14"/>
      <c r="F39" s="14"/>
    </row>
    <row r="40" customFormat="false" ht="63.75" hidden="false" customHeight="true" outlineLevel="0" collapsed="false">
      <c r="A40" s="14" t="s">
        <v>55</v>
      </c>
      <c r="B40" s="14"/>
      <c r="C40" s="14"/>
      <c r="D40" s="14"/>
      <c r="E40" s="14"/>
      <c r="F40" s="14"/>
    </row>
    <row r="100" customFormat="false" ht="16.4" hidden="false" customHeight="true" outlineLevel="0" collapsed="false">
      <c r="A100" s="15" t="s">
        <v>56</v>
      </c>
      <c r="B100" s="15"/>
      <c r="C100" s="15"/>
      <c r="D100" s="15"/>
      <c r="E100" s="15"/>
      <c r="F100" s="15"/>
    </row>
    <row r="101" customFormat="false" ht="16.4" hidden="false" customHeight="false" outlineLevel="0" collapsed="false">
      <c r="A101" s="16" t="s">
        <v>57</v>
      </c>
      <c r="B101" s="17" t="n">
        <f aca="false">B5</f>
        <v>1</v>
      </c>
    </row>
    <row r="102" customFormat="false" ht="16.4" hidden="false" customHeight="false" outlineLevel="0" collapsed="false">
      <c r="A102" s="16" t="s">
        <v>52</v>
      </c>
      <c r="B102" s="18" t="n">
        <f aca="false">B25</f>
        <v>1310000</v>
      </c>
    </row>
    <row r="103" customFormat="false" ht="16.4" hidden="false" customHeight="false" outlineLevel="0" collapsed="false">
      <c r="A103" s="16" t="s">
        <v>46</v>
      </c>
      <c r="B103" t="n" s="18">
        <f aca="false">C33</f>
        <v>47463232.4505566508</v>
      </c>
    </row>
    <row r="104" customFormat="false" ht="16.4" hidden="false" customHeight="false" outlineLevel="0" collapsed="false">
      <c r="A104" s="16" t="s">
        <v>48</v>
      </c>
      <c r="B104" t="n" s="18">
        <f aca="false">C34</f>
        <v>56955878.940667972</v>
      </c>
    </row>
    <row r="105" customFormat="false" ht="16.4" hidden="false" customHeight="false" outlineLevel="0" collapsed="false">
      <c r="A105" s="16" t="s">
        <v>58</v>
      </c>
      <c r="B105" s="19" t="n">
        <v>1</v>
      </c>
    </row>
    <row r="106" customFormat="false" ht="16.4" hidden="false" customHeight="false" outlineLevel="0" collapsed="false">
      <c r="A106" s="16" t="s">
        <v>59</v>
      </c>
      <c r="B106" s="18" t="n">
        <f aca="false">B26</f>
        <v>27771000</v>
      </c>
    </row>
    <row r="107" customFormat="false" ht="16.4" hidden="false" customHeight="false" outlineLevel="0" collapsed="false">
      <c r="A107" s="16" t="s">
        <v>60</v>
      </c>
      <c r="B107" s="18" t="n">
        <f aca="false">B16</f>
        <v>2847793.9470334</v>
      </c>
    </row>
    <row r="108" customFormat="false" ht="105.95" hidden="false" customHeight="false" outlineLevel="0" collapsed="false">
      <c r="A108" s="16" t="s">
        <v>61</v>
      </c>
      <c r="B108" s="20" t="s">
        <v>62</v>
      </c>
    </row>
  </sheetData>
  <mergeCells count="19">
    <mergeCell ref="B3:F3"/>
    <mergeCell ref="C10:F10"/>
    <mergeCell ref="A12:F12"/>
    <mergeCell ref="C13:F13"/>
    <mergeCell ref="C15:F15"/>
    <mergeCell ref="C16:F16"/>
    <mergeCell ref="A18:F18"/>
    <mergeCell ref="C19:E19"/>
    <mergeCell ref="C20:F20"/>
    <mergeCell ref="C21:F21"/>
    <mergeCell ref="C22:F22"/>
    <mergeCell ref="A24:F24"/>
    <mergeCell ref="C25:F25"/>
    <mergeCell ref="C26:F26"/>
    <mergeCell ref="C29:F29"/>
    <mergeCell ref="A31:F31"/>
    <mergeCell ref="A39:F39"/>
    <mergeCell ref="A40:F40"/>
    <mergeCell ref="A100:F100"/>
  </mergeCells>
  <printOptions headings="false" gridLines="false" gridLinesSet="true" horizontalCentered="false" verticalCentered="false"/>
  <pageMargins left="0.75" right="0.75" top="1" bottom="1" header="0.5" footer="0.511811023622047"/>
  <pageSetup paperSize="3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&amp;LFREVS liquidation case</oddHeader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2026-10-26T18:23:19Z</dcterms:created>
  <dc:creator>openpyxl</dc:creator>
  <dc:description/>
  <dc:language>en-US</dc:language>
  <cp:lastModifiedBy/>
  <dcterms:modified xsi:type="dcterms:W3CDTF">2026-10-26T16:24:12Z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