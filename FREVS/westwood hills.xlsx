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calcMode="auto"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1F4E79"/>
      <sz val="16"/>
    </font>
    <font>
      <name val="Calibri"/>
      <sz val="11"/>
    </font>
    <font>
      <name val="Calibri"/>
      <color rgb="000563C1"/>
      <sz val="11"/>
      <u val="single"/>
    </font>
    <font>
      <name val="Calibri"/>
      <sz val="10"/>
    </font>
    <font>
      <name val="Calibri"/>
      <b val="1"/>
      <sz val="11"/>
    </font>
    <font>
      <name val="Calibri"/>
      <b val="1"/>
      <color rgb="001F4E79"/>
      <sz val="13"/>
    </font>
    <font>
      <name val="&lt;openpyxl.styles.fills.PatternFill object&gt;&#10;Parameters:&#10;patternType='solid', fgColor=&lt;openpyxl.styles.colors.Color object&gt;&#10;Parameters:&#10;rgb='00FFF2CC', indexed=None, auto=None, theme=None, tint=0.0, type='rgb', bgColor=&lt;openpyxl.styles.colors.Color object&gt;&#10;Parameters:&#10;rgb='00000000', indexed=None, auto=None, theme=None, tint=0.0, type='rgb'"/>
    </font>
    <font>
      <name val="Calibri"/>
      <b val="1"/>
      <color rgb="00FFFFFF"/>
      <sz val="10"/>
    </font>
    <font>
      <name val="Calibri"/>
      <i val="1"/>
      <color rgb="00333333"/>
      <sz val="10"/>
    </font>
  </fonts>
  <fills count="5">
    <fill>
      <patternFill/>
    </fill>
    <fill>
      <patternFill patternType="gray125"/>
    </fill>
    <fill>
      <patternFill patternType="solid">
        <fgColor rgb="00D6DCE4"/>
      </patternFill>
    </fill>
    <fill>
      <patternFill patternType="solid">
        <fgColor rgb="001F4E79"/>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9" fontId="2" fillId="0" borderId="0" applyAlignment="1" pivotButton="0" quotePrefix="0" xfId="0">
      <alignment vertical="center" wrapText="1"/>
    </xf>
    <xf numFmtId="0" fontId="4" fillId="0" borderId="0" applyAlignment="1" pivotButton="0" quotePrefix="0" xfId="0">
      <alignment vertical="center" wrapText="1"/>
    </xf>
    <xf numFmtId="1" fontId="2" fillId="0" borderId="0" applyAlignment="1" pivotButton="0" quotePrefix="0" xfId="0">
      <alignment vertical="center" wrapText="1"/>
    </xf>
    <xf numFmtId="3" fontId="2" fillId="0" borderId="0" applyAlignment="1" pivotButton="0" quotePrefix="0" xfId="0">
      <alignment vertical="center" wrapText="1"/>
    </xf>
    <xf numFmtId="10" fontId="2" fillId="0" borderId="0" applyAlignment="1" pivotButton="0" quotePrefix="0" xfId="0">
      <alignment vertical="center" wrapText="1"/>
    </xf>
    <xf numFmtId="3" fontId="5" fillId="0" borderId="0" applyAlignment="1" pivotButton="0" quotePrefix="0" xfId="0">
      <alignment vertical="center" wrapText="1"/>
    </xf>
    <xf numFmtId="0" fontId="6" fillId="2" borderId="0" applyAlignment="1" pivotButton="0" quotePrefix="0" xfId="0">
      <alignment vertical="center" wrapText="1"/>
    </xf>
    <xf numFmtId="0" fontId="6" fillId="2" borderId="0" pivotButton="0" quotePrefix="0" xfId="0"/>
    <xf numFmtId="10" fontId="7" fillId="0" borderId="0" applyAlignment="1" pivotButton="0" quotePrefix="0" xfId="0">
      <alignment vertical="center" wrapText="1"/>
    </xf>
    <xf numFmtId="0" fontId="8" fillId="3" borderId="0" applyAlignment="1" pivotButton="0" quotePrefix="0" xfId="0">
      <alignment horizontal="center" vertical="center" wrapText="1"/>
    </xf>
    <xf numFmtId="164" fontId="2" fillId="0" borderId="0" applyAlignment="1" pivotButton="0" quotePrefix="0" xfId="0">
      <alignment vertical="center" wrapText="1"/>
    </xf>
    <xf numFmtId="0" fontId="9" fillId="0" borderId="0" applyAlignment="1" pivotButton="0" quotePrefix="0" xfId="0">
      <alignment vertical="top" wrapText="1"/>
    </xf>
    <xf numFmtId="0" fontId="5" fillId="4" borderId="0" applyAlignment="1" pivotButton="0" quotePrefix="0" xfId="0">
      <alignment vertical="center" wrapText="1"/>
    </xf>
    <xf numFmtId="0" fontId="4" fillId="4" borderId="0" applyAlignment="1" pivotButton="0" quotePrefix="0" xfId="0">
      <alignment vertical="center" wrapText="1"/>
    </xf>
    <xf numFmtId="10" fontId="5" fillId="4" borderId="1" applyAlignment="1" pivotButton="0" quotePrefix="0" xfId="0">
      <alignment vertical="center" wrapText="1"/>
    </xf>
    <xf numFmtId="3" fontId="5" fillId="4" borderId="1" applyAlignment="1" pivotButton="0" quotePrefix="0" xfId="0">
      <alignment vertical="center" wrapText="1"/>
    </xf>
    <xf numFmtId="1" fontId="5" fillId="4" borderId="1" applyAlignment="1" pivotButton="0" quotePrefix="0" xfId="0">
      <alignment vertical="center" wrapText="1"/>
    </xf>
    <xf numFmtId="0" fontId="5"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FREVS model</author>
  </authors>
  <commentList>
    <comment ref="B15" authorId="0" shapeId="0">
      <text>
        <t>Assumption that changes LOW or HIGH. Source of the starting number is in the row label.</t>
      </text>
    </comment>
    <comment ref="B19" authorId="0" shapeId="0">
      <text>
        <t>Assumption that changes LOW or HIGH. Source of the starting number is in the row label.</t>
      </text>
    </comment>
    <comment ref="B20" authorId="0" shapeId="0">
      <text>
        <t>Assumption that changes LOW or HIGH. Source of the starting number is in the row label.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F108"/>
  <sheetViews>
    <sheetView showGridLines="0" zoomScale="110" workbookViewId="0">
      <pane ySplit="4" topLeftCell="A5" activePane="bottomLeft" state="frozen"/>
      <selection pane="bottomLeft" activeCell="A1" sqref="A1"/>
    </sheetView>
  </sheetViews>
  <sheetFormatPr baseColWidth="8" defaultRowHeight="15"/>
  <cols>
    <col width="62" customWidth="1" min="1" max="1"/>
    <col width="22" customWidth="1" min="2" max="2"/>
    <col width="24" customWidth="1" min="3" max="3"/>
    <col width="22" customWidth="1" min="4" max="4"/>
    <col width="28" customWidth="1" min="5" max="5"/>
    <col width="42" customWidth="1" min="6" max="6"/>
  </cols>
  <sheetData>
    <row r="1" ht="24" customHeight="1">
      <c r="A1" s="1" t="inlineStr">
        <is>
          <t>Westwood Hills</t>
        </is>
      </c>
    </row>
    <row r="2">
      <c r="A2" s="2" t="inlineStr">
        <is>
          <t>Westwood, NJ</t>
        </is>
      </c>
    </row>
    <row r="3">
      <c r="A3" s="2" t="inlineStr">
        <is>
          <t>Photos</t>
        </is>
      </c>
      <c r="B3" s="3" t="inlineStr">
        <is>
          <t>https://www.google.com/search?tbm=isch&amp;q=Westwood+Hills+apartments+Westwood+NJ</t>
        </is>
      </c>
    </row>
    <row r="5">
      <c r="A5" s="2" t="inlineStr">
        <is>
          <t>FREIT ownership</t>
        </is>
      </c>
      <c r="B5" s="4" t="n">
        <v>0.4</v>
      </c>
      <c r="C5" s="5" t="inlineStr">
        <is>
          <t>40% of Westwood Hills, LLC, which owns 100% of the apartments. Consolidated because FREIT is the managing member. The other 60% is the noncontrolling interest. Insiders beneficially own 35% of the LLC (part of that 60%). DEFM14A and Form 10-K.</t>
        </is>
      </c>
    </row>
    <row r="6">
      <c r="A6" s="2" t="inlineStr">
        <is>
          <t>Year acquired</t>
        </is>
      </c>
      <c r="B6" s="6" t="n">
        <v>1994</v>
      </c>
    </row>
    <row r="7">
      <c r="A7" s="2" t="inlineStr">
        <is>
          <t>Apartment units</t>
        </is>
      </c>
      <c r="B7" s="7" t="n">
        <v>210</v>
      </c>
    </row>
    <row r="8">
      <c r="A8" s="2" t="inlineStr">
        <is>
          <t>Average annual occupancy, year ended October 31, 2025</t>
        </is>
      </c>
      <c r="B8" s="8" t="n">
        <v>0.963</v>
      </c>
    </row>
    <row r="9">
      <c r="A9" s="2" t="inlineStr">
        <is>
          <t>Average monthly rent per unit at October 31, 2025</t>
        </is>
      </c>
      <c r="B9" s="7" t="n">
        <v>2596</v>
      </c>
    </row>
    <row r="10">
      <c r="A10" s="2" t="inlineStr">
        <is>
          <t>In-place annual rent</t>
        </is>
      </c>
      <c r="B10" s="9">
        <f>B7*B9*12*B8</f>
        <v/>
      </c>
      <c r="C10" s="5" t="inlineStr">
        <is>
          <t>Units × monthly rent × 12 × occupancy. Both rent and occupancy are the Item 2 figures.</t>
        </is>
      </c>
    </row>
    <row r="12" ht="20" customHeight="1">
      <c r="A12" s="10" t="inlineStr">
        <is>
          <t>NOI estimate</t>
        </is>
      </c>
      <c r="B12" s="11" t="n"/>
      <c r="C12" s="11" t="n"/>
      <c r="D12" s="11" t="n"/>
      <c r="E12" s="11" t="n"/>
      <c r="F12" s="11" t="n"/>
    </row>
    <row r="13">
      <c r="A13" s="2" t="inlineStr">
        <is>
          <t>Residential segment operating expenses, nine months ended July 31, 2026</t>
        </is>
      </c>
      <c r="B13" s="7" t="n">
        <v>7082000</v>
      </c>
      <c r="C13" s="5" t="inlineStr">
        <is>
          <t>Form 10-Q Note 8. Consolidated residential segment, six properties. Pierre Towers is not in this segment.</t>
        </is>
      </c>
    </row>
    <row r="14">
      <c r="A14" s="2" t="inlineStr">
        <is>
          <t>Residential segment real estate rental revenue, same period</t>
        </is>
      </c>
      <c r="B14" s="7" t="n">
        <v>16797000</v>
      </c>
    </row>
    <row r="15">
      <c r="A15" s="2" t="inlineStr">
        <is>
          <t>Expense ratio used for this property</t>
        </is>
      </c>
      <c r="B15" s="12">
        <f>B13/B14</f>
        <v/>
      </c>
      <c r="C15" s="5" t="inlineStr">
        <is>
          <t>Segment expenses ÷ segment revenue. Not this property's own ratio. Yellow cells are assumptions.</t>
        </is>
      </c>
    </row>
    <row r="16">
      <c r="A16" s="2" t="inlineStr">
        <is>
          <t>Estimated NOI</t>
        </is>
      </c>
      <c r="B16" s="9">
        <f>B10*(1-B15)</f>
        <v/>
      </c>
      <c r="C16" s="5" t="inlineStr">
        <is>
          <t>In-place rent × (1 − expense ratio). NOI for this property is not in the filings.</t>
        </is>
      </c>
    </row>
    <row r="18" ht="20" customHeight="1">
      <c r="A18" s="10" t="inlineStr">
        <is>
          <t>Cap rates</t>
        </is>
      </c>
      <c r="B18" s="11" t="n"/>
      <c r="C18" s="11" t="n"/>
      <c r="D18" s="11" t="n"/>
      <c r="E18" s="11" t="n"/>
      <c r="F18" s="11" t="n"/>
    </row>
    <row r="19">
      <c r="A19" s="2" t="inlineStr">
        <is>
          <t>LOW cap rate</t>
        </is>
      </c>
      <c r="B19" s="12" t="n">
        <v>0.055</v>
      </c>
      <c r="C19" s="5" t="inlineStr">
        <is>
          <t>Same labeled LOW cap rate as the brooks.xlsx (5.5% row).</t>
        </is>
      </c>
    </row>
    <row r="20">
      <c r="A20" s="2" t="inlineStr">
        <is>
          <t>HIGH cap rate</t>
        </is>
      </c>
      <c r="B20" s="12" t="n">
        <v>0.05</v>
      </c>
      <c r="C20" s="5" t="inlineStr">
        <is>
          <t>Same labeled HIGH cap rate as the brooks.xlsx (5.0% row). A lower cap rate is the higher value.</t>
        </is>
      </c>
    </row>
    <row r="21">
      <c r="A21" s="2" t="inlineStr">
        <is>
          <t>AIV multifamily cap rate, reference only</t>
        </is>
      </c>
      <c r="B21" s="8" t="n">
        <v>0.056</v>
      </c>
      <c r="C21" s="5" t="inlineStr">
        <is>
          <t>upton place - Valuation.xlsx says: Use 5.6% for multifamily.</t>
        </is>
      </c>
    </row>
    <row r="22">
      <c r="A22" s="2" t="inlineStr">
        <is>
          <t>Proxy blended cap rate, reference only</t>
        </is>
      </c>
      <c r="B22" s="8" t="n">
        <v>0.0563</v>
      </c>
      <c r="C22" s="5" t="inlineStr">
        <is>
          <t>DEFM14A August 4, 2026: 5.63% blended on properties not under a sales contract.</t>
        </is>
      </c>
    </row>
    <row r="24" ht="20" customHeight="1">
      <c r="A24" s="10" t="inlineStr">
        <is>
          <t>Book and debt</t>
        </is>
      </c>
      <c r="B24" s="11" t="n"/>
      <c r="C24" s="11" t="n"/>
      <c r="D24" s="11" t="n"/>
      <c r="E24" s="11" t="n"/>
      <c r="F24" s="11" t="n"/>
    </row>
    <row r="25">
      <c r="A25" s="2" t="inlineStr">
        <is>
          <t>Book carrying value, 100% of the property</t>
        </is>
      </c>
      <c r="B25" s="7" t="n">
        <v>7567000</v>
      </c>
      <c r="C25" s="5" t="inlineStr">
        <is>
          <t>Schedule III net: gross $19,394,000 minus depreciation $11,827,000. Item 2 shows the same $7,567,000. October 31, 2025. This is 100% of the property, not 40%.</t>
        </is>
      </c>
    </row>
    <row r="26">
      <c r="A26" s="2" t="inlineStr">
        <is>
          <t>Mortgage principal, 100% of the property</t>
        </is>
      </c>
      <c r="B26" s="7" t="n">
        <v>24541000</v>
      </c>
      <c r="C26" s="5" t="inlineStr">
        <is>
          <t>July 31, 2026 balance $24,541,000 at 6.05%, which would have matured September 1, 2026. On August 31, 2026 it was refinanced with ConnectOne Bank at $25,000,000, fixed 6.28%, interest-only for three years, due September 1, 2031. The case uses the July 31 principal because that is the balance sheet date. The refinance swaps debt for cash and does not by itself change equity.</t>
        </is>
      </c>
    </row>
    <row r="27">
      <c r="A27" s="2" t="inlineStr">
        <is>
          <t>Interest rate at July 31, 2026</t>
        </is>
      </c>
      <c r="B27" s="8" t="n">
        <v>0.0605</v>
      </c>
    </row>
    <row r="28">
      <c r="A28" s="2" t="inlineStr">
        <is>
          <t>Maturity</t>
        </is>
      </c>
      <c r="B28" s="2" t="inlineStr">
        <is>
          <t>2026-09-01, refinanced</t>
        </is>
      </c>
    </row>
    <row r="29">
      <c r="A29" s="2" t="inlineStr">
        <is>
          <t>Book equity, carrying value minus mortgage</t>
        </is>
      </c>
      <c r="B29" s="9">
        <f>B25-B26</f>
        <v/>
      </c>
      <c r="C29" s="5" t="inlineStr">
        <is>
          <t>Negative book equity means the mortgage exceeds depreciated cost. The cap-rate value is independent of that cost.</t>
        </is>
      </c>
    </row>
    <row r="31" ht="20" customHeight="1">
      <c r="A31" s="10" t="inlineStr">
        <is>
          <t>Valuation</t>
        </is>
      </c>
      <c r="B31" s="11" t="n"/>
      <c r="C31" s="11" t="n"/>
      <c r="D31" s="11" t="n"/>
      <c r="E31" s="11" t="n"/>
      <c r="F31" s="11" t="n"/>
    </row>
    <row r="32" ht="32" customHeight="1">
      <c r="A32" s="13" t="inlineStr">
        <is>
          <t>Scenario</t>
        </is>
      </c>
      <c r="B32" s="13" t="inlineStr">
        <is>
          <t>Cap rate</t>
        </is>
      </c>
      <c r="C32" s="13" t="inlineStr">
        <is>
          <t>Value</t>
        </is>
      </c>
      <c r="D32" s="13" t="inlineStr">
        <is>
          <t>Premium to book</t>
        </is>
      </c>
      <c r="E32" s="13" t="inlineStr">
        <is>
          <t>Role</t>
        </is>
      </c>
    </row>
    <row r="33">
      <c r="A33" s="2" t="inlineStr">
        <is>
          <t>LOW, 5.5%</t>
        </is>
      </c>
      <c r="B33" s="8">
        <f>B19</f>
        <v/>
      </c>
      <c r="C33" s="9">
        <f>$B$16/B33</f>
        <v/>
      </c>
      <c r="D33" s="14">
        <f>C33/$B$25-1</f>
        <v/>
      </c>
      <c r="E33" s="5" t="inlineStr">
        <is>
          <t>LOW</t>
        </is>
      </c>
    </row>
    <row r="34">
      <c r="A34" s="2" t="inlineStr">
        <is>
          <t>HIGH, 5.0%</t>
        </is>
      </c>
      <c r="B34" s="8">
        <f>B20</f>
        <v/>
      </c>
      <c r="C34" s="9">
        <f>$B$16/B34</f>
        <v/>
      </c>
      <c r="D34" s="14">
        <f>C34/$B$25-1</f>
        <v/>
      </c>
      <c r="E34" s="5" t="inlineStr">
        <is>
          <t>HIGH</t>
        </is>
      </c>
    </row>
    <row r="35">
      <c r="A35" s="2" t="inlineStr">
        <is>
          <t>Reference, 5.6% AIV</t>
        </is>
      </c>
      <c r="B35" s="8">
        <f>B21</f>
        <v/>
      </c>
      <c r="C35" s="9">
        <f>$B$16/B35</f>
        <v/>
      </c>
      <c r="D35" s="14">
        <f>C35/$B$25-1</f>
        <v/>
      </c>
      <c r="E35" s="5" t="inlineStr">
        <is>
          <t>reference, not used for LOW or HIGH</t>
        </is>
      </c>
    </row>
    <row r="36">
      <c r="A36" s="2" t="inlineStr">
        <is>
          <t>Reference, 5.63% proxy</t>
        </is>
      </c>
      <c r="B36" s="8">
        <f>B22</f>
        <v/>
      </c>
      <c r="C36" s="9">
        <f>$B$16/B36</f>
        <v/>
      </c>
      <c r="D36" s="14">
        <f>C36/$B$25-1</f>
        <v/>
      </c>
      <c r="E36" s="5" t="inlineStr">
        <is>
          <t>reference, not used for LOW or HIGH</t>
        </is>
      </c>
    </row>
    <row r="37">
      <c r="A37" s="2" t="inlineStr">
        <is>
          <t>Book carrying value</t>
        </is>
      </c>
      <c r="C37" s="7">
        <f>B25</f>
        <v/>
      </c>
      <c r="D37" s="14" t="n">
        <v>0</v>
      </c>
      <c r="E37" s="5" t="inlineStr">
        <is>
          <t>BOOK</t>
        </is>
      </c>
    </row>
    <row r="39" ht="48" customHeight="1">
      <c r="A39" s="15" t="inlineStr">
        <is>
          <t>Westwood Hills was 20.2% of consolidated revenue in fiscal 2025. Not subject to rent control. Hekemian &amp; Co. is the managing agent.</t>
        </is>
      </c>
    </row>
    <row r="40" ht="64" customHeight="1">
      <c r="A40" s="15" t="inlineStr">
        <is>
          <t>Value = estimated NOI ÷ cap rate, before depreciation and before the mortgage. That is the same relationship as the brooks.xlsx (NOI divided by the cap rate) and as upton place - Valuation.xlsx. LOW uses 5.5% and HIGH uses 5.0%, the rows labeled LOW and HIGH on the brooks.xlsx. The 5.6% and 5.63% rows are shown and are not the LOW or HIGH that the investment case reads. Operating expense is the residential segment ratio, because this property's own expenses are not disclosed.</t>
        </is>
      </c>
    </row>
    <row r="100">
      <c r="A100" s="16" t="inlineStr">
        <is>
          <t>Outputs read by investment-case.xlsx. Dollars, 100% of the property. Do not move these rows.</t>
        </is>
      </c>
    </row>
    <row r="101">
      <c r="A101" s="17" t="inlineStr">
        <is>
          <t>Ownership</t>
        </is>
      </c>
      <c r="B101" s="18">
        <f>B5</f>
        <v/>
      </c>
    </row>
    <row r="102">
      <c r="A102" s="17" t="inlineStr">
        <is>
          <t>Book carrying value</t>
        </is>
      </c>
      <c r="B102" s="19">
        <f>B25</f>
        <v/>
      </c>
    </row>
    <row r="103">
      <c r="A103" s="17" t="inlineStr">
        <is>
          <t>LOW</t>
        </is>
      </c>
      <c r="B103" s="19">
        <f>C33</f>
        <v/>
      </c>
    </row>
    <row r="104">
      <c r="A104" s="17" t="inlineStr">
        <is>
          <t>HIGH</t>
        </is>
      </c>
      <c r="B104" s="19">
        <f>C34</f>
        <v/>
      </c>
    </row>
    <row r="105">
      <c r="A105" s="17" t="inlineStr">
        <is>
          <t>Estimate flag (1 = use LOW/HIGH, 0 = leave blank and hold at book)</t>
        </is>
      </c>
      <c r="B105" s="20" t="n">
        <v>1</v>
      </c>
    </row>
    <row r="106">
      <c r="A106" s="17" t="inlineStr">
        <is>
          <t>Mortgage</t>
        </is>
      </c>
      <c r="B106" s="19">
        <f>B26</f>
        <v/>
      </c>
    </row>
    <row r="107">
      <c r="A107" s="17" t="inlineStr">
        <is>
          <t>NOI used</t>
        </is>
      </c>
      <c r="B107" s="19">
        <f>B16</f>
        <v/>
      </c>
    </row>
    <row r="108">
      <c r="A108" s="17" t="inlineStr">
        <is>
          <t>Method</t>
        </is>
      </c>
      <c r="B108" s="21" t="inlineStr">
        <is>
          <t>Method: in-place rent × (1 − residential segment expense ratio), divided by the brooks.xlsx 5.5% / 5.0% cap rates. The investment case then takes 40%. NOI is not filed for this property.</t>
        </is>
      </c>
    </row>
  </sheetData>
  <mergeCells count="7">
    <mergeCell ref="A24:F24"/>
    <mergeCell ref="A31:F31"/>
    <mergeCell ref="A40:F40"/>
    <mergeCell ref="A12:F12"/>
    <mergeCell ref="A18:F18"/>
    <mergeCell ref="A100:F100"/>
    <mergeCell ref="A39:F39"/>
  </mergeCells>
  <pageMargins left="0.75" right="0.75" top="1" bottom="1" header="0.5" footer="0.5"/>
  <pageSetup orientation="landscape" paperSize="3" fitToHeight="0" fitToWidth="1"/>
  <headerFooter>
    <oddHeader>&amp;LFREVS liquidation case</oddHeader>
    <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2026-10-26T18:23:19Z</dcterms:created>
  <dcterms:modified xsi:type="dcterms:W3CDTF">2026-10-26T18:23:19Z</dcterms:modified>
</cp:coreProperties>
</file>