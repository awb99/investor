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calcMode="auto"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4E79"/>
      <sz val="16"/>
    </font>
    <font>
      <name val="Calibri"/>
      <sz val="11"/>
    </font>
    <font>
      <name val="Calibri"/>
      <sz val="10"/>
    </font>
    <font>
      <name val="Calibri"/>
      <b val="1"/>
      <color rgb="001F4E79"/>
      <sz val="13"/>
    </font>
    <font>
      <name val="Calibri"/>
      <b val="1"/>
      <color rgb="00FFFFFF"/>
      <sz val="10"/>
    </font>
    <font>
      <name val="Calibri"/>
      <b val="1"/>
      <sz val="11"/>
    </font>
    <font>
      <name val="Calibri"/>
      <i val="1"/>
      <color rgb="00333333"/>
      <sz val="10"/>
    </font>
  </fonts>
  <fills count="6">
    <fill>
      <patternFill/>
    </fill>
    <fill>
      <patternFill patternType="gray125"/>
    </fill>
    <fill>
      <patternFill patternType="solid">
        <fgColor rgb="00D6DCE4"/>
      </patternFill>
    </fill>
    <fill>
      <patternFill patternType="solid">
        <fgColor rgb="001F4E79"/>
      </patternFill>
    </fill>
    <fill>
      <patternFill patternType="solid">
        <fgColor rgb="00DDEBF7"/>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9" fontId="2" fillId="0"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4" fillId="2" borderId="0" pivotButton="0" quotePrefix="0" xfId="0"/>
    <xf numFmtId="0" fontId="5" fillId="3" borderId="0" applyAlignment="1" pivotButton="0" quotePrefix="0" xfId="0">
      <alignment horizontal="center" vertical="center" wrapText="1"/>
    </xf>
    <xf numFmtId="3" fontId="2" fillId="0" borderId="0" applyAlignment="1" pivotButton="0" quotePrefix="0" xfId="0">
      <alignment vertical="center" wrapText="1"/>
    </xf>
    <xf numFmtId="0" fontId="6" fillId="4" borderId="0" applyAlignment="1" pivotButton="0" quotePrefix="0" xfId="0">
      <alignment vertical="center" wrapText="1"/>
    </xf>
    <xf numFmtId="0" fontId="0" fillId="4" borderId="0" pivotButton="0" quotePrefix="0" xfId="0"/>
    <xf numFmtId="3" fontId="6" fillId="4" borderId="0" applyAlignment="1" pivotButton="0" quotePrefix="0" xfId="0">
      <alignment vertical="center" wrapText="1"/>
    </xf>
    <xf numFmtId="0" fontId="7" fillId="0" borderId="0" applyAlignment="1" pivotButton="0" quotePrefix="0" xfId="0">
      <alignment vertical="top" wrapText="1"/>
    </xf>
    <xf numFmtId="0" fontId="6" fillId="5" borderId="0" applyAlignment="1" pivotButton="0" quotePrefix="0" xfId="0">
      <alignment vertical="center" wrapText="1"/>
    </xf>
    <xf numFmtId="0" fontId="3" fillId="5" borderId="0" applyAlignment="1" pivotButton="0" quotePrefix="0" xfId="0">
      <alignment vertical="center" wrapText="1"/>
    </xf>
    <xf numFmtId="10" fontId="6" fillId="5" borderId="1" applyAlignment="1" pivotButton="0" quotePrefix="0" xfId="0">
      <alignment vertical="center" wrapText="1"/>
    </xf>
    <xf numFmtId="3" fontId="6" fillId="5" borderId="1" applyAlignment="1" pivotButton="0" quotePrefix="0" xfId="0">
      <alignment vertical="center" wrapText="1"/>
    </xf>
    <xf numFmtId="1" fontId="6" fillId="5" borderId="1" applyAlignment="1" pivotButton="0" quotePrefix="0" xfId="0">
      <alignment vertical="center" wrapText="1"/>
    </xf>
    <xf numFmtId="0" fontId="6"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08"/>
  <sheetViews>
    <sheetView showGridLines="0" zoomScale="110" workbookViewId="0">
      <pane ySplit="4" topLeftCell="A5" activePane="bottomLeft" state="frozen"/>
      <selection pane="bottomLeft" activeCell="A1" sqref="A1"/>
    </sheetView>
  </sheetViews>
  <sheetFormatPr baseColWidth="8" defaultRowHeight="15"/>
  <cols>
    <col width="42" customWidth="1" min="1" max="1"/>
    <col width="28" customWidth="1" min="2" max="2"/>
    <col width="18" customWidth="1" min="3" max="3"/>
    <col width="22" customWidth="1" min="4" max="4"/>
    <col width="55" customWidth="1" min="5" max="5"/>
    <col width="22" customWidth="1" min="6" max="6"/>
  </cols>
  <sheetData>
    <row r="1" ht="24" customHeight="1">
      <c r="A1" s="1" t="inlineStr">
        <is>
          <t>Other properties</t>
        </is>
      </c>
    </row>
    <row r="2">
      <c r="A2" s="2" t="inlineStr">
        <is>
          <t>Glen Rock retail, Rockaway bank ground lease, and three vacant parcels</t>
        </is>
      </c>
    </row>
    <row r="3">
      <c r="A3" s="2" t="inlineStr">
        <is>
          <t>FREIT ownership</t>
        </is>
      </c>
      <c r="B3" s="3" t="n">
        <v>1</v>
      </c>
      <c r="C3" s="4" t="inlineStr">
        <is>
          <t>Each parcel is wholly owned. None is large enough to carry its own valuation file.</t>
        </is>
      </c>
    </row>
    <row r="5" ht="20" customHeight="1">
      <c r="A5" s="5" t="inlineStr">
        <is>
          <t>Carrying values at October 31, 2025, Schedule III</t>
        </is>
      </c>
      <c r="B5" s="6" t="n"/>
      <c r="C5" s="6" t="n"/>
      <c r="D5" s="6" t="n"/>
      <c r="E5" s="6" t="n"/>
      <c r="F5" s="6" t="n"/>
    </row>
    <row r="6" ht="32" customHeight="1">
      <c r="A6" s="7" t="inlineStr">
        <is>
          <t>Property</t>
        </is>
      </c>
      <c r="B6" s="7" t="inlineStr">
        <is>
          <t>Location</t>
        </is>
      </c>
      <c r="C6" s="7" t="inlineStr">
        <is>
          <t>Acres or sq ft</t>
        </is>
      </c>
      <c r="D6" s="7" t="inlineStr">
        <is>
          <t>Carrying value</t>
        </is>
      </c>
      <c r="E6" s="7" t="inlineStr">
        <is>
          <t>What the filing says</t>
        </is>
      </c>
    </row>
    <row r="7" ht="48" customHeight="1">
      <c r="A7" s="2" t="inlineStr">
        <is>
          <t>Glen Rock retail</t>
        </is>
      </c>
      <c r="B7" s="2" t="inlineStr">
        <is>
          <t>Glen Rock, NJ</t>
        </is>
      </c>
      <c r="C7" s="2" t="inlineStr">
        <is>
          <t>4,672 sq ft</t>
        </is>
      </c>
      <c r="D7" s="8" t="n">
        <v>39000</v>
      </c>
      <c r="E7" s="4" t="inlineStr">
        <is>
          <t>Acquired 1962. Occupancy 100%. Average rent $21.53 per sq ft at October 31, 2025. No mortgage. Item 2 carrying value $39,000 equals Schedule III net.</t>
        </is>
      </c>
    </row>
    <row r="8" ht="48" customHeight="1">
      <c r="A8" s="2" t="inlineStr">
        <is>
          <t>Bank ground lease</t>
        </is>
      </c>
      <c r="B8" s="2" t="inlineStr">
        <is>
          <t>Rockaway, NJ</t>
        </is>
      </c>
      <c r="C8" s="2" t="inlineStr">
        <is>
          <t>1 acre</t>
        </is>
      </c>
      <c r="D8" s="8" t="n">
        <v>114000</v>
      </c>
      <c r="E8" s="4" t="inlineStr">
        <is>
          <t>TD Bank branch built and operated by the tenant on FREIT land. Rent dollars are not disclosed (Item 2 says N/A). No mortgage.</t>
        </is>
      </c>
    </row>
    <row r="9" ht="48" customHeight="1">
      <c r="A9" s="2" t="inlineStr">
        <is>
          <t>Vacant land</t>
        </is>
      </c>
      <c r="B9" s="2" t="inlineStr">
        <is>
          <t>Franklin Lakes, NJ</t>
        </is>
      </c>
      <c r="C9" s="2" t="inlineStr">
        <is>
          <t>4.27 acres</t>
        </is>
      </c>
      <c r="D9" s="8" t="n">
        <v>68000</v>
      </c>
      <c r="E9" s="4" t="inlineStr">
        <is>
          <t>Acquired 1966. Zoned residential. Current use none. Unencumbered.</t>
        </is>
      </c>
    </row>
    <row r="10" ht="48" customHeight="1">
      <c r="A10" s="2" t="inlineStr">
        <is>
          <t>Vacant land</t>
        </is>
      </c>
      <c r="B10" s="2" t="inlineStr">
        <is>
          <t>Wayne, NJ</t>
        </is>
      </c>
      <c r="C10" s="2" t="inlineStr">
        <is>
          <t>2.1 acres</t>
        </is>
      </c>
      <c r="D10" s="8" t="n">
        <v>286000</v>
      </c>
      <c r="E10" s="4" t="inlineStr">
        <is>
          <t>Acquired 2002. Zoned commercial. Item 2 folds this $286,000 into the Preakness line of $20,591,000. It is separated here so Preakness is the building only.</t>
        </is>
      </c>
    </row>
    <row r="11" ht="48" customHeight="1">
      <c r="A11" s="2" t="inlineStr">
        <is>
          <t>Vacant land</t>
        </is>
      </c>
      <c r="B11" s="2" t="inlineStr">
        <is>
          <t>Rockaway, NJ</t>
        </is>
      </c>
      <c r="C11" s="2" t="inlineStr">
        <is>
          <t>1.0 acre</t>
        </is>
      </c>
      <c r="D11" s="8" t="n">
        <v>51000</v>
      </c>
      <c r="E11" s="4" t="inlineStr">
        <is>
          <t>Zoned residential. Item 2 folds this $51,000 into the Boulders line of $13,194,000. Separated here.</t>
        </is>
      </c>
    </row>
    <row r="12">
      <c r="A12" s="9" t="inlineStr">
        <is>
          <t>Total carrying value</t>
        </is>
      </c>
      <c r="B12" s="10" t="n"/>
      <c r="C12" s="10" t="n"/>
      <c r="D12" s="11">
        <f>SUM(D7:D11)</f>
        <v/>
      </c>
      <c r="E12" s="10" t="n"/>
    </row>
    <row r="14" ht="64" customHeight="1">
      <c r="A14" s="12" t="inlineStr">
        <is>
          <t>Glen Rock in-place rent, if $21.53 is the rent per square foot on the occupied 4,672 square feet, is 4,672 × 21.53. That is about $100,000 of rent, not NOI. No cap rate is applied. The bank ground lease rent is not disclosed. The vacant parcels have no appraisal. LOW and HIGH are blank. The investment case leaves these at the carrying value already inside July 31 common equity.</t>
        </is>
      </c>
    </row>
    <row r="100">
      <c r="A100" s="13" t="inlineStr">
        <is>
          <t>Outputs read by investment-case.xlsx. Dollars, 100% of the property. Do not move these rows.</t>
        </is>
      </c>
    </row>
    <row r="101">
      <c r="A101" s="14" t="inlineStr">
        <is>
          <t>Ownership</t>
        </is>
      </c>
      <c r="B101" t="n" s="15">
        <f>B3</f>
        <v>1</v>
      </c>
    </row>
    <row r="102">
      <c r="A102" s="14" t="inlineStr">
        <is>
          <t>Book carrying value</t>
        </is>
      </c>
      <c r="B102" s="16">
        <f>D12</f>
        <v/>
      </c>
    </row>
    <row r="103">
      <c r="A103" s="14" t="inlineStr">
        <is>
          <t>LOW</t>
        </is>
      </c>
      <c r="B103" s="16" t="n"/>
    </row>
    <row r="104">
      <c r="A104" s="14" t="inlineStr">
        <is>
          <t>HIGH</t>
        </is>
      </c>
      <c r="B104" s="16" t="n"/>
    </row>
    <row r="105">
      <c r="A105" s="14" t="inlineStr">
        <is>
          <t>Estimate flag (1 = use LOW/HIGH, 0 = leave blank and hold at book)</t>
        </is>
      </c>
      <c r="B105" s="17" t="n">
        <v>0</v>
      </c>
    </row>
    <row r="106">
      <c r="A106" s="14" t="inlineStr">
        <is>
          <t>Mortgage</t>
        </is>
      </c>
      <c r="B106" s="16" t="n">
        <v>0</v>
      </c>
    </row>
    <row r="107">
      <c r="A107" s="14" t="inlineStr">
        <is>
          <t>NOI used</t>
        </is>
      </c>
      <c r="B107" s="16" t="n"/>
    </row>
    <row r="108">
      <c r="A108" s="14" t="inlineStr">
        <is>
          <t>Method</t>
        </is>
      </c>
      <c r="B108" s="18" t="inlineStr">
        <is>
          <t>Not estimated. Immaterial parcels and the Glen Rock store. No NOI, rent (bank), or appraisal. Held at October 31, 2025 carrying value.</t>
        </is>
      </c>
    </row>
  </sheetData>
  <mergeCells count="3">
    <mergeCell ref="A14:F14"/>
    <mergeCell ref="A5:F5"/>
    <mergeCell ref="A100:F100"/>
  </mergeCells>
  <pageMargins left="0.75" right="0.75" top="1" bottom="1" header="0.5" footer="0.5"/>
  <pageSetup orientation="landscape" paperSize="3" fitToHeight="0" fitToWidth="1"/>
  <headerFooter>
    <oddHeader>&amp;LFREVS liquidation case</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2026-10-26T18:23:19Z</dcterms:created>
  <dcterms:modified xsi:type="dcterms:W3CDTF">2026-10-26T18:23:19Z</dcterms:modified>
</cp:coreProperties>
</file>