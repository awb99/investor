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color rgb="001F4E79"/>
      <sz val="13"/>
    </font>
    <font>
      <name val="Calibri"/>
      <b val="1"/>
      <sz val="11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0" pivotButton="0" quotePrefix="0" xfId="0"/>
    <xf numFmtId="3" fontId="6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1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8" customWidth="1" min="1" max="1"/>
    <col width="22" customWidth="1" min="2" max="2"/>
    <col width="22" customWidth="1" min="3" max="3"/>
    <col width="24" customWidth="1" min="4" max="4"/>
    <col width="36" customWidth="1" min="5" max="5"/>
    <col width="28" customWidth="1" min="6" max="6"/>
  </cols>
  <sheetData>
    <row r="1" ht="24" customHeight="1">
      <c r="A1" s="1" t="inlineStr">
        <is>
          <t>Westwood Plaza</t>
        </is>
      </c>
    </row>
    <row r="2">
      <c r="A2" s="2" t="inlineStr">
        <is>
          <t>700 Broadway, Westwood, NJ</t>
        </is>
      </c>
    </row>
    <row r="3">
      <c r="A3" s="2" t="inlineStr">
        <is>
          <t>Photos</t>
        </is>
      </c>
      <c r="B3" s="3" t="inlineStr">
        <is>
          <t>https://www.google.com/search?tbm=isch&amp;q=Westwood+Plaza+700+Broadway+Westwood+NJ</t>
        </is>
      </c>
    </row>
    <row r="5">
      <c r="A5" s="2" t="inlineStr">
        <is>
          <t>FREIT ownership</t>
        </is>
      </c>
      <c r="B5" s="4" t="n">
        <v>1</v>
      </c>
      <c r="C5" s="5" t="inlineStr">
        <is>
          <t>100%. Purchase and sale agreement is for 100% of the ownership interests. Form 10-Q Note 14.</t>
        </is>
      </c>
    </row>
    <row r="6">
      <c r="A6" s="2" t="inlineStr">
        <is>
          <t>Year acquired</t>
        </is>
      </c>
      <c r="B6" s="6" t="n">
        <v>1988</v>
      </c>
    </row>
    <row r="7">
      <c r="A7" s="2" t="inlineStr">
        <is>
          <t>Leasable area, square feet</t>
        </is>
      </c>
      <c r="B7" s="7" t="n">
        <v>174275</v>
      </c>
    </row>
    <row r="8">
      <c r="A8" s="2" t="inlineStr">
        <is>
          <t>Average annual occupancy, year ended October 31, 2025</t>
        </is>
      </c>
      <c r="B8" s="8" t="n">
        <v>0.291</v>
      </c>
    </row>
    <row r="9">
      <c r="A9" s="2" t="inlineStr">
        <is>
          <t>Average annualized rent per square foot at October 31, 2025</t>
        </is>
      </c>
      <c r="B9" s="9" t="n">
        <v>19.45</v>
      </c>
    </row>
    <row r="10">
      <c r="A10" s="2" t="inlineStr">
        <is>
          <t>In-place rent if the average is on occupied area</t>
        </is>
      </c>
      <c r="B10" s="7">
        <f>B7*B8*B9</f>
        <v/>
      </c>
      <c r="C10" s="5" t="inlineStr">
        <is>
          <t>The 10-K does not say whether the average is per occupied square foot or per leasable square foot. Not used as NOI.</t>
        </is>
      </c>
    </row>
    <row r="11">
      <c r="A11" s="2" t="inlineStr">
        <is>
          <t>Anchor named in the 10-K</t>
        </is>
      </c>
      <c r="B11" s="2" t="inlineStr">
        <is>
          <t>TJ Maxx, 28,480 sq ft</t>
        </is>
      </c>
    </row>
    <row r="12">
      <c r="A12" s="2" t="inlineStr">
        <is>
          <t>Former Kmart space</t>
        </is>
      </c>
      <c r="B12" s="7" t="n">
        <v>84254</v>
      </c>
      <c r="C12" s="5" t="inlineStr">
        <is>
          <t>Terminated effective October 19, 2023. Management's stated market rent was $15 to $24 per square foot. Not used as a value.</t>
        </is>
      </c>
    </row>
    <row r="14" ht="20" customHeight="1">
      <c r="A14" s="10" t="inlineStr">
        <is>
          <t>Contract</t>
        </is>
      </c>
      <c r="B14" s="11" t="n"/>
      <c r="C14" s="11" t="n"/>
      <c r="D14" s="11" t="n"/>
      <c r="E14" s="11" t="n"/>
      <c r="F14" s="11" t="n"/>
    </row>
    <row r="15">
      <c r="A15" s="2" t="inlineStr">
        <is>
          <t>Contract price</t>
        </is>
      </c>
      <c r="B15" s="12" t="n">
        <v>28800000</v>
      </c>
      <c r="C15" s="5" t="inlineStr">
        <is>
          <t>Purchase and sale agreement dated May 26, 2026, with an affiliate of Regency Centers Corporation. Form 10-Q Note 14.</t>
        </is>
      </c>
    </row>
    <row r="16">
      <c r="A16" s="2" t="inlineStr">
        <is>
          <t>Initial deposit</t>
        </is>
      </c>
      <c r="B16" s="7" t="n">
        <v>1200000</v>
      </c>
      <c r="C16" s="5" t="inlineStr">
        <is>
          <t>Refundable during the 120-day diligence period that ended September 23, 2026. No later filing says whether it went hard or the contract was terminated.</t>
        </is>
      </c>
    </row>
    <row r="17">
      <c r="A17" s="2" t="inlineStr">
        <is>
          <t>Additional deposit if the buyer proceeds</t>
        </is>
      </c>
      <c r="B17" s="7" t="n">
        <v>1000000</v>
      </c>
    </row>
    <row r="18">
      <c r="A18" s="2" t="inlineStr">
        <is>
          <t>Outside date</t>
        </is>
      </c>
      <c r="B18" s="2" t="inlineStr">
        <is>
          <t>2027-08-15</t>
        </is>
      </c>
      <c r="C18" s="5" t="inlineStr">
        <is>
          <t>Either party may terminate if closing has not occurred by August 15, 2027. No financing contingency. A second diligence period of up to nine months costs $50,000 a month, not applied to the price.</t>
        </is>
      </c>
    </row>
    <row r="20" ht="20" customHeight="1">
      <c r="A20" s="10" t="inlineStr">
        <is>
          <t>Book and debt</t>
        </is>
      </c>
      <c r="B20" s="11" t="n"/>
      <c r="C20" s="11" t="n"/>
      <c r="D20" s="11" t="n"/>
      <c r="E20" s="11" t="n"/>
      <c r="F20" s="11" t="n"/>
    </row>
    <row r="21">
      <c r="A21" s="2" t="inlineStr">
        <is>
          <t>Book carrying value, October 31, 2025</t>
        </is>
      </c>
      <c r="B21" s="7" t="n">
        <v>7217000</v>
      </c>
      <c r="C21" s="5" t="inlineStr">
        <is>
          <t>Schedule III: gross $15,848,000 minus accumulated depreciation $8,631,000. Same figure as Item 2.</t>
        </is>
      </c>
    </row>
    <row r="22">
      <c r="A22" s="2" t="inlineStr">
        <is>
          <t>Mortgage principal, July 31, 2026</t>
        </is>
      </c>
      <c r="B22" s="7" t="n">
        <v>9459000</v>
      </c>
      <c r="C22" s="5" t="inlineStr">
        <is>
          <t>Valley National Bank, 8.50%, extended through November 1, 2026. Form 10-Q Note 7.</t>
        </is>
      </c>
    </row>
    <row r="23">
      <c r="A23" s="2" t="inlineStr">
        <is>
          <t>Contract price minus mortgage</t>
        </is>
      </c>
      <c r="B23" s="12">
        <f>B15-B22</f>
        <v/>
      </c>
      <c r="C23" s="5" t="inlineStr">
        <is>
          <t>Before the 1.65% Hekemian sale fee and before transfer taxes. Those are not deducted on this sheet.</t>
        </is>
      </c>
    </row>
    <row r="25" ht="20" customHeight="1">
      <c r="A25" s="10" t="inlineStr">
        <is>
          <t>Valuation</t>
        </is>
      </c>
      <c r="B25" s="11" t="n"/>
      <c r="C25" s="11" t="n"/>
      <c r="D25" s="11" t="n"/>
      <c r="E25" s="11" t="n"/>
      <c r="F25" s="11" t="n"/>
    </row>
    <row r="26" ht="32" customHeight="1">
      <c r="A26" s="13" t="inlineStr">
        <is>
          <t>Scenario</t>
        </is>
      </c>
      <c r="B26" s="13" t="inlineStr">
        <is>
          <t>Value</t>
        </is>
      </c>
      <c r="C26" s="13" t="inlineStr">
        <is>
          <t>Premium to book</t>
        </is>
      </c>
      <c r="D26" s="13" t="inlineStr">
        <is>
          <t>Role</t>
        </is>
      </c>
      <c r="E26" s="13" t="inlineStr">
        <is>
          <t>Basis</t>
        </is>
      </c>
    </row>
    <row r="27">
      <c r="A27" s="2" t="inlineStr">
        <is>
          <t>LOW</t>
        </is>
      </c>
      <c r="B27" s="12">
        <f>B15</f>
        <v/>
      </c>
      <c r="C27" s="14">
        <f>B27/$B$21-1</f>
        <v/>
      </c>
      <c r="D27" s="2" t="inlineStr">
        <is>
          <t>LOW</t>
        </is>
      </c>
      <c r="E27" s="5" t="inlineStr">
        <is>
          <t>Contract price. Same number as HIGH because the filing gives one price.</t>
        </is>
      </c>
    </row>
    <row r="28">
      <c r="A28" s="2" t="inlineStr">
        <is>
          <t>HIGH</t>
        </is>
      </c>
      <c r="B28" s="12">
        <f>B15</f>
        <v/>
      </c>
      <c r="C28" s="14">
        <f>B28/$B$21-1</f>
        <v/>
      </c>
      <c r="D28" s="2" t="inlineStr">
        <is>
          <t>HIGH</t>
        </is>
      </c>
      <c r="E28" s="5" t="inlineStr">
        <is>
          <t>Contract price.</t>
        </is>
      </c>
    </row>
    <row r="29">
      <c r="A29" s="2" t="inlineStr">
        <is>
          <t>BOOK</t>
        </is>
      </c>
      <c r="B29" s="7">
        <f>B21</f>
        <v/>
      </c>
      <c r="C29" s="14" t="n">
        <v>0</v>
      </c>
      <c r="D29" s="2" t="inlineStr">
        <is>
          <t>BOOK</t>
        </is>
      </c>
    </row>
    <row r="31" ht="62" customHeight="1">
      <c r="A31" s="15" t="inlineStr">
        <is>
          <t>No cap rate is applied. The executed contract is the value. A cap-rate value would need NOI, which is not disclosed for this property. Franklin Crossing, also sold to an affiliate of Regency Centers, closed July 8, 2026 at $27,000,000 against a book value of about $5.6 million. That sale is already in the July 31 balance sheet and is not valued here.</t>
        </is>
      </c>
    </row>
    <row r="100">
      <c r="A100" s="16" t="inlineStr">
        <is>
          <t>Outputs read by investment-case.xlsx. Dollars, 100% of the property. Do not move these rows.</t>
        </is>
      </c>
    </row>
    <row r="101">
      <c r="A101" s="17" t="inlineStr">
        <is>
          <t>Ownership</t>
        </is>
      </c>
      <c r="B101" s="18">
        <f>B5</f>
        <v/>
      </c>
    </row>
    <row r="102">
      <c r="A102" s="17" t="inlineStr">
        <is>
          <t>Book carrying value</t>
        </is>
      </c>
      <c r="B102" s="19">
        <f>B21</f>
        <v/>
      </c>
    </row>
    <row r="103">
      <c r="A103" s="17" t="inlineStr">
        <is>
          <t>LOW</t>
        </is>
      </c>
      <c r="B103" s="19">
        <f>B27</f>
        <v/>
      </c>
    </row>
    <row r="104">
      <c r="A104" s="17" t="inlineStr">
        <is>
          <t>HIGH</t>
        </is>
      </c>
      <c r="B104" s="19">
        <f>B28</f>
        <v/>
      </c>
    </row>
    <row r="105">
      <c r="A105" s="17" t="inlineStr">
        <is>
          <t>Estimate flag (1 = use LOW/HIGH, 0 = leave blank and hold at book)</t>
        </is>
      </c>
      <c r="B105" s="20" t="n">
        <v>1</v>
      </c>
    </row>
    <row r="106">
      <c r="A106" s="17" t="inlineStr">
        <is>
          <t>Mortgage</t>
        </is>
      </c>
      <c r="B106" s="19">
        <f>B22</f>
        <v/>
      </c>
    </row>
    <row r="107">
      <c r="A107" s="17" t="inlineStr">
        <is>
          <t>NOI used</t>
        </is>
      </c>
      <c r="B107" s="19" t="n"/>
    </row>
    <row r="108">
      <c r="A108" s="17" t="inlineStr">
        <is>
          <t>Method</t>
        </is>
      </c>
      <c r="B108" s="21" t="inlineStr">
        <is>
          <t>Filing: May 26, 2026 contract price of $28,800,000. LOW and HIGH are the same price. Not a cap rate.</t>
        </is>
      </c>
    </row>
  </sheetData>
  <mergeCells count="5">
    <mergeCell ref="A14:F14"/>
    <mergeCell ref="A31:F31"/>
    <mergeCell ref="A100:F100"/>
    <mergeCell ref="A20:F20"/>
    <mergeCell ref="A25:F25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